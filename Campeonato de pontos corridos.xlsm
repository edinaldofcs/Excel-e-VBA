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aldo\Desktop\EXCEL\Excel Avançado\"/>
    </mc:Choice>
  </mc:AlternateContent>
  <xr:revisionPtr revIDLastSave="0" documentId="13_ncr:1_{8A556897-0A81-4811-9945-4B666B6CC77A}" xr6:coauthVersionLast="47" xr6:coauthVersionMax="47" xr10:uidLastSave="{00000000-0000-0000-0000-000000000000}"/>
  <bookViews>
    <workbookView xWindow="-120" yWindow="-120" windowWidth="19440" windowHeight="15000" activeTab="1" xr2:uid="{FE2009BC-569D-4B7A-B888-E4F2A2BD9B8B}"/>
  </bookViews>
  <sheets>
    <sheet name="Configuracoes" sheetId="1" r:id="rId1"/>
    <sheet name="Tabela" sheetId="5" r:id="rId2"/>
  </sheets>
  <definedNames>
    <definedName name="JOGOS">Tabela!$O$3</definedName>
    <definedName name="mudarass">Configuracoes!#REF!</definedName>
    <definedName name="RODADA1">Configuracoes!$H$24</definedName>
    <definedName name="RODADA10">Configuracoes!$H$114</definedName>
    <definedName name="RODADA11">Configuracoes!$H$124</definedName>
    <definedName name="RODADA12">Configuracoes!$H$134</definedName>
    <definedName name="RODADA13">Configuracoes!$H$144</definedName>
    <definedName name="RODADA14">Configuracoes!$H$154</definedName>
    <definedName name="RODADA15">Configuracoes!$H$164</definedName>
    <definedName name="RODADA16">Configuracoes!$H$174</definedName>
    <definedName name="RODADA17">Configuracoes!$H$184</definedName>
    <definedName name="RODADA18">Configuracoes!$H$194</definedName>
    <definedName name="RODADA19">Configuracoes!$H$204</definedName>
    <definedName name="RODADA2">Configuracoes!$H$34</definedName>
    <definedName name="RODADA20">Configuracoes!$H$214</definedName>
    <definedName name="RODADA21">Configuracoes!$H$224</definedName>
    <definedName name="RODADA22">Configuracoes!$H$234</definedName>
    <definedName name="RODADA23">Configuracoes!$H$244</definedName>
    <definedName name="RODADA24">Configuracoes!$H$254</definedName>
    <definedName name="RODADA25">Configuracoes!$H$264</definedName>
    <definedName name="RODADA26">Configuracoes!$H$274</definedName>
    <definedName name="RODADA27">Configuracoes!$H$284</definedName>
    <definedName name="RODADA28">Configuracoes!$H$294</definedName>
    <definedName name="RODADA29">Configuracoes!$H$304</definedName>
    <definedName name="RODADA3">Configuracoes!$H$44</definedName>
    <definedName name="RODADA30">Configuracoes!$H$314</definedName>
    <definedName name="RODADA31">Configuracoes!$H$324</definedName>
    <definedName name="RODADA32">Configuracoes!$H$334</definedName>
    <definedName name="RODADA33">Configuracoes!$H$344</definedName>
    <definedName name="RODADA34">Configuracoes!$H$354</definedName>
    <definedName name="RODADA35">Configuracoes!$H$364</definedName>
    <definedName name="RODADA36">Configuracoes!$H$374</definedName>
    <definedName name="RODADA37">Configuracoes!$H$384</definedName>
    <definedName name="RODADA38">Configuracoes!$H$394</definedName>
    <definedName name="RODADA39">Configuracoes!#REF!</definedName>
    <definedName name="RODADA4">Configuracoes!$H$54</definedName>
    <definedName name="RODADA40">Configuracoes!#REF!</definedName>
    <definedName name="RODADA41">Configuracoes!#REF!</definedName>
    <definedName name="RODADA42">Configuracoes!#REF!</definedName>
    <definedName name="RODADA43">Configuracoes!#REF!</definedName>
    <definedName name="RODADA44">Configuracoes!#REF!</definedName>
    <definedName name="RODADA45">Configuracoes!#REF!</definedName>
    <definedName name="RODADA46">Configuracoes!#REF!</definedName>
    <definedName name="RODADA47">Configuracoes!#REF!</definedName>
    <definedName name="RODADA48">Configuracoes!#REF!</definedName>
    <definedName name="RODADA49">Configuracoes!#REF!</definedName>
    <definedName name="RODADA5">Configuracoes!$H$64</definedName>
    <definedName name="RODADA50">Configuracoes!#REF!</definedName>
    <definedName name="RODADA51">Configuracoes!#REF!</definedName>
    <definedName name="RODADA52">Configuracoes!#REF!</definedName>
    <definedName name="RODADA53">Configuracoes!#REF!</definedName>
    <definedName name="RODADA54">Configuracoes!#REF!</definedName>
    <definedName name="RODADA55">Configuracoes!#REF!</definedName>
    <definedName name="RODADA56">Configuracoes!#REF!</definedName>
    <definedName name="RODADA57">Configuracoes!#REF!</definedName>
    <definedName name="RODADA58">Configuracoes!#REF!</definedName>
    <definedName name="RODADA59">Configuracoes!#REF!</definedName>
    <definedName name="RODADA6">Configuracoes!$H$74</definedName>
    <definedName name="RODADA60">Configuracoes!#REF!</definedName>
    <definedName name="RODADA61">Configuracoes!#REF!</definedName>
    <definedName name="RODADA62">Configuracoes!#REF!</definedName>
    <definedName name="RODADA63">Configuracoes!#REF!</definedName>
    <definedName name="RODADA64">Configuracoes!#REF!</definedName>
    <definedName name="RODADA65">Configuracoes!#REF!</definedName>
    <definedName name="RODADA66">Configuracoes!#REF!</definedName>
    <definedName name="RODADA67">Configuracoes!#REF!</definedName>
    <definedName name="RODADA68">Configuracoes!#REF!</definedName>
    <definedName name="RODADA69">Configuracoes!#REF!</definedName>
    <definedName name="RODADA7">Configuracoes!$H$84</definedName>
    <definedName name="RODADA70">Configuracoes!#REF!</definedName>
    <definedName name="RODADA71">Configuracoes!#REF!</definedName>
    <definedName name="RODADA72">Configuracoes!#REF!</definedName>
    <definedName name="RODADA73">Configuracoes!#REF!</definedName>
    <definedName name="RODADA74">Configuracoes!#REF!</definedName>
    <definedName name="RODADA75">Configuracoes!#REF!</definedName>
    <definedName name="RODADA76">Configuracoes!#REF!</definedName>
    <definedName name="RODADA77">Configuracoes!#REF!</definedName>
    <definedName name="RODADA78">Configuracoes!#REF!</definedName>
    <definedName name="RODADA79">Configuracoes!#REF!</definedName>
    <definedName name="RODADA8">Configuracoes!$H$94</definedName>
    <definedName name="RODADA80">Configuracoes!#REF!</definedName>
    <definedName name="RODADA81">Configuracoes!#REF!</definedName>
    <definedName name="RODADA82">Configuracoes!#REF!</definedName>
    <definedName name="RODADA83">Configuracoes!#REF!</definedName>
    <definedName name="RODADA84">Configuracoes!#REF!</definedName>
    <definedName name="RODADA85">Configuracoes!#REF!</definedName>
    <definedName name="RODADA86">Configuracoes!#REF!</definedName>
    <definedName name="RODADA87">Configuracoes!#REF!</definedName>
    <definedName name="RODADA88">Configuracoes!#REF!</definedName>
    <definedName name="RODADA89">Configuracoes!#REF!</definedName>
    <definedName name="RODADA9">Configuracoes!$H$104</definedName>
    <definedName name="RODADA90">Configuracoes!#REF!</definedName>
    <definedName name="RODADA91">Configuracoes!#REF!</definedName>
    <definedName name="RODADA92">Configuracoes!#REF!</definedName>
    <definedName name="RODADA93">Configuracoes!#REF!</definedName>
    <definedName name="RODADA94">Configuracoes!#REF!</definedName>
    <definedName name="RODADA95">Configuracoes!#REF!</definedName>
    <definedName name="RODADA96">Configuracoes!#REF!</definedName>
    <definedName name="RODADA97">Configuracoes!#REF!</definedName>
    <definedName name="RODADA98">Configuracoes!#REF!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5" l="1"/>
  <c r="D14" i="5"/>
  <c r="K14" i="5" s="1"/>
  <c r="E14" i="5"/>
  <c r="C14" i="5" s="1"/>
  <c r="F14" i="5"/>
  <c r="G14" i="5"/>
  <c r="H14" i="5"/>
  <c r="J14" i="5" s="1"/>
  <c r="I14" i="5"/>
  <c r="B15" i="5"/>
  <c r="C15" i="5"/>
  <c r="D15" i="5"/>
  <c r="K15" i="5" s="1"/>
  <c r="E15" i="5"/>
  <c r="F15" i="5"/>
  <c r="G15" i="5"/>
  <c r="H15" i="5"/>
  <c r="J15" i="5" s="1"/>
  <c r="I15" i="5"/>
  <c r="B22" i="5"/>
  <c r="D22" i="5"/>
  <c r="K22" i="5" s="1"/>
  <c r="E22" i="5"/>
  <c r="C22" i="5" s="1"/>
  <c r="F22" i="5"/>
  <c r="G22" i="5"/>
  <c r="H22" i="5"/>
  <c r="J22" i="5" s="1"/>
  <c r="I22" i="5"/>
  <c r="B16" i="5"/>
  <c r="C16" i="5"/>
  <c r="D16" i="5"/>
  <c r="K16" i="5" s="1"/>
  <c r="E16" i="5"/>
  <c r="F16" i="5"/>
  <c r="G16" i="5"/>
  <c r="H16" i="5"/>
  <c r="J16" i="5" s="1"/>
  <c r="I16" i="5"/>
  <c r="B17" i="5"/>
  <c r="D17" i="5"/>
  <c r="K17" i="5" s="1"/>
  <c r="E17" i="5"/>
  <c r="C17" i="5" s="1"/>
  <c r="F17" i="5"/>
  <c r="G17" i="5"/>
  <c r="H17" i="5"/>
  <c r="J17" i="5" s="1"/>
  <c r="I17" i="5"/>
  <c r="B8" i="5"/>
  <c r="C8" i="5"/>
  <c r="D8" i="5"/>
  <c r="K8" i="5" s="1"/>
  <c r="E8" i="5"/>
  <c r="F8" i="5"/>
  <c r="G8" i="5"/>
  <c r="H8" i="5"/>
  <c r="J8" i="5" s="1"/>
  <c r="I8" i="5"/>
  <c r="B19" i="5"/>
  <c r="D19" i="5"/>
  <c r="K19" i="5" s="1"/>
  <c r="E19" i="5"/>
  <c r="C19" i="5" s="1"/>
  <c r="F19" i="5"/>
  <c r="G19" i="5"/>
  <c r="H19" i="5"/>
  <c r="J19" i="5" s="1"/>
  <c r="I19" i="5"/>
  <c r="B7" i="5"/>
  <c r="C7" i="5"/>
  <c r="D7" i="5"/>
  <c r="K7" i="5" s="1"/>
  <c r="E7" i="5"/>
  <c r="F7" i="5"/>
  <c r="G7" i="5"/>
  <c r="H7" i="5"/>
  <c r="J7" i="5" s="1"/>
  <c r="I7" i="5"/>
  <c r="B9" i="5"/>
  <c r="D9" i="5"/>
  <c r="K9" i="5" s="1"/>
  <c r="E9" i="5"/>
  <c r="C9" i="5" s="1"/>
  <c r="F9" i="5"/>
  <c r="G9" i="5"/>
  <c r="H9" i="5"/>
  <c r="J9" i="5" s="1"/>
  <c r="I9" i="5"/>
  <c r="B10" i="5"/>
  <c r="C10" i="5"/>
  <c r="D10" i="5"/>
  <c r="K10" i="5" s="1"/>
  <c r="E10" i="5"/>
  <c r="F10" i="5"/>
  <c r="G10" i="5"/>
  <c r="H10" i="5"/>
  <c r="J10" i="5" s="1"/>
  <c r="I10" i="5"/>
  <c r="B11" i="5"/>
  <c r="D11" i="5"/>
  <c r="K11" i="5" s="1"/>
  <c r="E11" i="5"/>
  <c r="C11" i="5" s="1"/>
  <c r="F11" i="5"/>
  <c r="G11" i="5"/>
  <c r="H11" i="5"/>
  <c r="J11" i="5" s="1"/>
  <c r="I11" i="5"/>
  <c r="B13" i="5"/>
  <c r="C13" i="5"/>
  <c r="D13" i="5"/>
  <c r="K13" i="5" s="1"/>
  <c r="E13" i="5"/>
  <c r="F13" i="5"/>
  <c r="G13" i="5"/>
  <c r="H13" i="5"/>
  <c r="J13" i="5" s="1"/>
  <c r="I13" i="5"/>
  <c r="B18" i="5"/>
  <c r="D18" i="5"/>
  <c r="K18" i="5" s="1"/>
  <c r="E18" i="5"/>
  <c r="C18" i="5" s="1"/>
  <c r="F18" i="5"/>
  <c r="G18" i="5"/>
  <c r="H18" i="5"/>
  <c r="J18" i="5" s="1"/>
  <c r="I18" i="5"/>
  <c r="B6" i="5"/>
  <c r="C6" i="5"/>
  <c r="D6" i="5"/>
  <c r="K6" i="5" s="1"/>
  <c r="E6" i="5"/>
  <c r="F6" i="5"/>
  <c r="G6" i="5"/>
  <c r="H6" i="5"/>
  <c r="J6" i="5" s="1"/>
  <c r="I6" i="5"/>
  <c r="B20" i="5"/>
  <c r="D20" i="5"/>
  <c r="K20" i="5" s="1"/>
  <c r="E20" i="5"/>
  <c r="C20" i="5" s="1"/>
  <c r="F20" i="5"/>
  <c r="G20" i="5"/>
  <c r="H20" i="5"/>
  <c r="J20" i="5" s="1"/>
  <c r="I20" i="5"/>
  <c r="B5" i="5"/>
  <c r="C5" i="5"/>
  <c r="D5" i="5"/>
  <c r="K5" i="5" s="1"/>
  <c r="E5" i="5"/>
  <c r="F5" i="5"/>
  <c r="G5" i="5"/>
  <c r="H5" i="5"/>
  <c r="J5" i="5" s="1"/>
  <c r="I5" i="5"/>
  <c r="B12" i="5"/>
  <c r="D12" i="5"/>
  <c r="K12" i="5" s="1"/>
  <c r="E12" i="5"/>
  <c r="C12" i="5" s="1"/>
  <c r="F12" i="5"/>
  <c r="G12" i="5"/>
  <c r="H12" i="5"/>
  <c r="J12" i="5" s="1"/>
  <c r="I12" i="5"/>
  <c r="B3" i="5"/>
  <c r="C3" i="5"/>
  <c r="D3" i="5"/>
  <c r="K3" i="5" s="1"/>
  <c r="E3" i="5"/>
  <c r="F3" i="5"/>
  <c r="G3" i="5"/>
  <c r="H3" i="5"/>
  <c r="J3" i="5" s="1"/>
  <c r="I3" i="5"/>
  <c r="B4" i="5"/>
  <c r="D4" i="5"/>
  <c r="K4" i="5" s="1"/>
  <c r="E4" i="5"/>
  <c r="C4" i="5" s="1"/>
  <c r="F4" i="5"/>
  <c r="G4" i="5"/>
  <c r="H4" i="5"/>
  <c r="J4" i="5" s="1"/>
  <c r="I4" i="5"/>
  <c r="I21" i="5"/>
  <c r="H21" i="5"/>
  <c r="G21" i="5"/>
  <c r="F21" i="5"/>
  <c r="E21" i="5"/>
  <c r="D21" i="5"/>
  <c r="K21" i="5" s="1"/>
  <c r="B21" i="5"/>
  <c r="E21" i="1"/>
  <c r="G21" i="1" s="1"/>
  <c r="E20" i="1"/>
  <c r="G20" i="1" s="1"/>
  <c r="E19" i="1"/>
  <c r="G19" i="1" s="1"/>
  <c r="E18" i="1"/>
  <c r="G18" i="1" s="1"/>
  <c r="E17" i="1"/>
  <c r="G17" i="1" s="1"/>
  <c r="E16" i="1"/>
  <c r="G16" i="1" s="1"/>
  <c r="E15" i="1"/>
  <c r="G15" i="1" s="1"/>
  <c r="E14" i="1"/>
  <c r="G14" i="1" s="1"/>
  <c r="E13" i="1"/>
  <c r="G13" i="1" s="1"/>
  <c r="E12" i="1"/>
  <c r="G12" i="1" s="1"/>
  <c r="E11" i="1"/>
  <c r="G11" i="1" s="1"/>
  <c r="E10" i="1"/>
  <c r="G10" i="1" s="1"/>
  <c r="E9" i="1"/>
  <c r="G9" i="1" s="1"/>
  <c r="E8" i="1"/>
  <c r="G8" i="1" s="1"/>
  <c r="E7" i="1"/>
  <c r="G7" i="1" s="1"/>
  <c r="E6" i="1"/>
  <c r="G6" i="1" s="1"/>
  <c r="E5" i="1"/>
  <c r="G5" i="1" s="1"/>
  <c r="E4" i="1"/>
  <c r="G4" i="1" s="1"/>
  <c r="E3" i="1"/>
  <c r="G3" i="1" s="1"/>
  <c r="E2" i="1"/>
  <c r="I2" i="1" s="1"/>
  <c r="J21" i="1"/>
  <c r="I21" i="1"/>
  <c r="H21" i="1"/>
  <c r="F21" i="1"/>
  <c r="J20" i="1"/>
  <c r="I20" i="1"/>
  <c r="H20" i="1"/>
  <c r="F20" i="1"/>
  <c r="J19" i="1"/>
  <c r="I19" i="1"/>
  <c r="H19" i="1"/>
  <c r="F19" i="1"/>
  <c r="J18" i="1"/>
  <c r="I18" i="1"/>
  <c r="H18" i="1"/>
  <c r="F18" i="1"/>
  <c r="J17" i="1"/>
  <c r="I17" i="1"/>
  <c r="H17" i="1"/>
  <c r="F17" i="1"/>
  <c r="J16" i="1"/>
  <c r="I16" i="1"/>
  <c r="H16" i="1"/>
  <c r="F16" i="1"/>
  <c r="J15" i="1"/>
  <c r="I15" i="1"/>
  <c r="H15" i="1"/>
  <c r="F15" i="1"/>
  <c r="J14" i="1"/>
  <c r="I14" i="1"/>
  <c r="H14" i="1"/>
  <c r="F14" i="1"/>
  <c r="J13" i="1"/>
  <c r="I13" i="1"/>
  <c r="H13" i="1"/>
  <c r="F13" i="1"/>
  <c r="J12" i="1"/>
  <c r="I12" i="1"/>
  <c r="H12" i="1"/>
  <c r="F12" i="1"/>
  <c r="J11" i="1"/>
  <c r="I11" i="1"/>
  <c r="H11" i="1"/>
  <c r="F11" i="1"/>
  <c r="J10" i="1"/>
  <c r="I10" i="1"/>
  <c r="H10" i="1"/>
  <c r="F10" i="1"/>
  <c r="J9" i="1"/>
  <c r="I9" i="1"/>
  <c r="H9" i="1"/>
  <c r="F9" i="1"/>
  <c r="J8" i="1"/>
  <c r="I8" i="1"/>
  <c r="H8" i="1"/>
  <c r="F8" i="1"/>
  <c r="J7" i="1"/>
  <c r="I7" i="1"/>
  <c r="H7" i="1"/>
  <c r="F7" i="1"/>
  <c r="J6" i="1"/>
  <c r="I6" i="1"/>
  <c r="H6" i="1"/>
  <c r="F6" i="1"/>
  <c r="J5" i="1"/>
  <c r="I5" i="1"/>
  <c r="H5" i="1"/>
  <c r="F5" i="1"/>
  <c r="J4" i="1"/>
  <c r="I4" i="1"/>
  <c r="H4" i="1"/>
  <c r="F4" i="1"/>
  <c r="J3" i="1"/>
  <c r="I3" i="1"/>
  <c r="H3" i="1"/>
  <c r="F3" i="1"/>
  <c r="J2" i="1"/>
  <c r="F2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G2" i="1" l="1"/>
  <c r="H2" i="1"/>
  <c r="J21" i="5"/>
  <c r="C21" i="5"/>
</calcChain>
</file>

<file path=xl/sharedStrings.xml><?xml version="1.0" encoding="utf-8"?>
<sst xmlns="http://schemas.openxmlformats.org/spreadsheetml/2006/main" count="78" uniqueCount="41">
  <si>
    <t>D</t>
  </si>
  <si>
    <t>E</t>
  </si>
  <si>
    <t>J</t>
  </si>
  <si>
    <t>P</t>
  </si>
  <si>
    <t>TIME 2</t>
  </si>
  <si>
    <t>TIME 4</t>
  </si>
  <si>
    <t>TIME</t>
  </si>
  <si>
    <t>V</t>
  </si>
  <si>
    <t>GP</t>
  </si>
  <si>
    <t>GC</t>
  </si>
  <si>
    <t>NUM</t>
  </si>
  <si>
    <t>CLASSIFICAÇÃO</t>
  </si>
  <si>
    <t>SG</t>
  </si>
  <si>
    <t>%</t>
  </si>
  <si>
    <t>JOGOS</t>
  </si>
  <si>
    <t>ª RODADA</t>
  </si>
  <si>
    <t>x</t>
  </si>
  <si>
    <t>RODADA</t>
  </si>
  <si>
    <t>TIME1</t>
  </si>
  <si>
    <t>TIME2</t>
  </si>
  <si>
    <t>GOLS</t>
  </si>
  <si>
    <t>DIF</t>
  </si>
  <si>
    <t>TABELA</t>
  </si>
  <si>
    <t>TIME 5</t>
  </si>
  <si>
    <t>TIME 6</t>
  </si>
  <si>
    <t>TIME 3</t>
  </si>
  <si>
    <t>TIME 1</t>
  </si>
  <si>
    <t>TIME 7</t>
  </si>
  <si>
    <t>TIME 8</t>
  </si>
  <si>
    <t>TIME 9</t>
  </si>
  <si>
    <t>TIME 10</t>
  </si>
  <si>
    <t>TIME 11</t>
  </si>
  <si>
    <t>TIME 12</t>
  </si>
  <si>
    <t>TIME 13</t>
  </si>
  <si>
    <t>TIME 14</t>
  </si>
  <si>
    <t>TIME 15</t>
  </si>
  <si>
    <t>TIME 16</t>
  </si>
  <si>
    <t>TIME 17</t>
  </si>
  <si>
    <t>TIME 18</t>
  </si>
  <si>
    <t>TIME 19</t>
  </si>
  <si>
    <t>TIME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</si>
</sst>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511703848384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/>
      <diagonal/>
    </border>
    <border>
      <left style="medium">
        <color theme="2" tint="-0.249977111117893"/>
      </left>
      <right/>
      <top/>
      <bottom/>
      <diagonal/>
    </border>
    <border>
      <left/>
      <right/>
      <top/>
      <bottom style="medium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 applyAlignment="1">
      <alignment vertical="center"/>
    </xf>
    <xf numFmtId="0" fontId="0" fillId="2" borderId="0" xfId="0" applyFill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/>
    <xf numFmtId="0" fontId="0" fillId="3" borderId="2" xfId="0" applyFill="1" applyBorder="1" applyAlignment="1">
      <alignment horizontal="center" vertical="center"/>
    </xf>
    <xf numFmtId="164" fontId="0" fillId="3" borderId="2" xfId="1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0" fillId="2" borderId="5" xfId="0" applyFill="1" applyBorder="1"/>
    <xf numFmtId="0" fontId="4" fillId="2" borderId="2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left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2" xfId="0" applyFill="1" applyBorder="1" applyAlignment="1">
      <alignment horizontal="left" vertical="center" indent="1"/>
    </xf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left" vertical="center"/>
    </xf>
    <xf numFmtId="0" fontId="0" fillId="0" borderId="0" xfId="0" applyFill="1"/>
    <xf numFmtId="0" fontId="0" fillId="0" borderId="4" xfId="0" applyFill="1" applyBorder="1"/>
    <xf numFmtId="0" fontId="0" fillId="0" borderId="0" xfId="0" applyFill="1" applyAlignment="1">
      <alignment vertical="center"/>
    </xf>
    <xf numFmtId="0" fontId="2" fillId="0" borderId="0" xfId="0" applyFont="1" applyFill="1"/>
    <xf numFmtId="0" fontId="8" fillId="2" borderId="0" xfId="0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38100</xdr:colOff>
      <xdr:row>1</xdr:row>
      <xdr:rowOff>9525</xdr:rowOff>
    </xdr:from>
    <xdr:to>
      <xdr:col>13</xdr:col>
      <xdr:colOff>409575</xdr:colOff>
      <xdr:row>2</xdr:row>
      <xdr:rowOff>0</xdr:rowOff>
    </xdr:to>
    <xdr:pic macro="[0]!voltar">
      <xdr:nvPicPr>
        <xdr:cNvPr id="3" name="volta" descr="Acento Circunflexo para Cima com preenchimento sólido">
          <a:extLst>
            <a:ext uri="{FF2B5EF4-FFF2-40B4-BE49-F238E27FC236}">
              <a16:creationId xmlns:a16="http://schemas.microsoft.com/office/drawing/2014/main" id="{6D7EE9D7-DC94-4D82-818B-6BCCBCCC3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6200000">
          <a:off x="6219825" y="523875"/>
          <a:ext cx="371475" cy="371475"/>
        </a:xfrm>
        <a:prstGeom prst="rect">
          <a:avLst/>
        </a:prstGeom>
      </xdr:spPr>
    </xdr:pic>
    <xdr:clientData/>
  </xdr:twoCellAnchor>
  <xdr:twoCellAnchor editAs="absolute">
    <xdr:from>
      <xdr:col>17</xdr:col>
      <xdr:colOff>714375</xdr:colOff>
      <xdr:row>1</xdr:row>
      <xdr:rowOff>9525</xdr:rowOff>
    </xdr:from>
    <xdr:to>
      <xdr:col>17</xdr:col>
      <xdr:colOff>1085850</xdr:colOff>
      <xdr:row>2</xdr:row>
      <xdr:rowOff>0</xdr:rowOff>
    </xdr:to>
    <xdr:pic macro="[0]!avancar">
      <xdr:nvPicPr>
        <xdr:cNvPr id="4" name="avanca" descr="Acento Circunflexo para Cima com preenchimento sólido">
          <a:extLst>
            <a:ext uri="{FF2B5EF4-FFF2-40B4-BE49-F238E27FC236}">
              <a16:creationId xmlns:a16="http://schemas.microsoft.com/office/drawing/2014/main" id="{40D2E272-B2C1-42CD-A1C4-860BF1EB1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9286875" y="523875"/>
          <a:ext cx="371475" cy="371475"/>
        </a:xfrm>
        <a:prstGeom prst="rect">
          <a:avLst/>
        </a:prstGeom>
      </xdr:spPr>
    </xdr:pic>
    <xdr:clientData/>
  </xdr:twoCellAnchor>
  <xdr:twoCellAnchor editAs="absolute">
    <xdr:from>
      <xdr:col>18</xdr:col>
      <xdr:colOff>381000</xdr:colOff>
      <xdr:row>0</xdr:row>
      <xdr:rowOff>419100</xdr:rowOff>
    </xdr:from>
    <xdr:to>
      <xdr:col>20</xdr:col>
      <xdr:colOff>438150</xdr:colOff>
      <xdr:row>2</xdr:row>
      <xdr:rowOff>276225</xdr:rowOff>
    </xdr:to>
    <xdr:sp macro="[0]!criarcampeonato" textlink="">
      <xdr:nvSpPr>
        <xdr:cNvPr id="5" name="novo">
          <a:extLst>
            <a:ext uri="{FF2B5EF4-FFF2-40B4-BE49-F238E27FC236}">
              <a16:creationId xmlns:a16="http://schemas.microsoft.com/office/drawing/2014/main" id="{837E12A2-E41C-460B-BE02-53CAAE0C8545}"/>
            </a:ext>
          </a:extLst>
        </xdr:cNvPr>
        <xdr:cNvSpPr/>
      </xdr:nvSpPr>
      <xdr:spPr>
        <a:xfrm>
          <a:off x="10058400" y="419100"/>
          <a:ext cx="1276350" cy="752475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 NOVO CAMPEONATO</a:t>
          </a:r>
        </a:p>
      </xdr:txBody>
    </xdr:sp>
    <xdr:clientData/>
  </xdr:twoCellAnchor>
  <xdr:twoCellAnchor editAs="absolute">
    <xdr:from>
      <xdr:col>18</xdr:col>
      <xdr:colOff>381000</xdr:colOff>
      <xdr:row>3</xdr:row>
      <xdr:rowOff>247650</xdr:rowOff>
    </xdr:from>
    <xdr:to>
      <xdr:col>20</xdr:col>
      <xdr:colOff>438150</xdr:colOff>
      <xdr:row>6</xdr:row>
      <xdr:rowOff>142875</xdr:rowOff>
    </xdr:to>
    <xdr:sp macro="[0]!alterarnome" textlink="">
      <xdr:nvSpPr>
        <xdr:cNvPr id="7" name="mudar">
          <a:extLst>
            <a:ext uri="{FF2B5EF4-FFF2-40B4-BE49-F238E27FC236}">
              <a16:creationId xmlns:a16="http://schemas.microsoft.com/office/drawing/2014/main" id="{9EB05E79-49C6-4487-9C80-3CD762CFAFE5}"/>
            </a:ext>
          </a:extLst>
        </xdr:cNvPr>
        <xdr:cNvSpPr/>
      </xdr:nvSpPr>
      <xdr:spPr>
        <a:xfrm>
          <a:off x="10058400" y="1428750"/>
          <a:ext cx="1276350" cy="752475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ALTERAR</a:t>
          </a:r>
          <a:r>
            <a:rPr lang="pt-BR" sz="1200" b="1" baseline="0"/>
            <a:t> NOME E ESCUDO</a:t>
          </a:r>
          <a:endParaRPr lang="pt-BR" sz="1200" b="1"/>
        </a:p>
      </xdr:txBody>
    </xdr:sp>
    <xdr:clientData/>
  </xdr:twoCellAnchor>
  <xdr:twoCellAnchor editAs="absolute">
    <xdr:from>
      <xdr:col>0</xdr:col>
      <xdr:colOff>476250</xdr:colOff>
      <xdr:row>0</xdr:row>
      <xdr:rowOff>466725</xdr:rowOff>
    </xdr:from>
    <xdr:to>
      <xdr:col>0</xdr:col>
      <xdr:colOff>476250</xdr:colOff>
      <xdr:row>3</xdr:row>
      <xdr:rowOff>0</xdr:rowOff>
    </xdr:to>
    <xdr:cxnSp macro="">
      <xdr:nvCxnSpPr>
        <xdr:cNvPr id="8" name="linha" hidden="1">
          <a:extLst>
            <a:ext uri="{FF2B5EF4-FFF2-40B4-BE49-F238E27FC236}">
              <a16:creationId xmlns:a16="http://schemas.microsoft.com/office/drawing/2014/main" id="{5074BA3E-EB6D-47B7-A515-5431BBCC8A8D}"/>
            </a:ext>
          </a:extLst>
        </xdr:cNvPr>
        <xdr:cNvCxnSpPr>
          <a:cxnSpLocks noChangeAspect="1"/>
        </xdr:cNvCxnSpPr>
      </xdr:nvCxnSpPr>
      <xdr:spPr>
        <a:xfrm flipV="1">
          <a:off x="476250" y="466725"/>
          <a:ext cx="0" cy="7410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389231</xdr:colOff>
      <xdr:row>2</xdr:row>
      <xdr:rowOff>25400</xdr:rowOff>
    </xdr:from>
    <xdr:to>
      <xdr:col>0</xdr:col>
      <xdr:colOff>563268</xdr:colOff>
      <xdr:row>2</xdr:row>
      <xdr:rowOff>260350</xdr:rowOff>
    </xdr:to>
    <xdr:pic macro="nada">
      <xdr:nvPicPr>
        <xdr:cNvPr id="1029" name="TIME 1">
          <a:extLst>
            <a:ext uri="{FF2B5EF4-FFF2-40B4-BE49-F238E27FC236}">
              <a16:creationId xmlns:a16="http://schemas.microsoft.com/office/drawing/2014/main" id="{629A8E8F-0B39-4965-8985-A20539461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92075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389231</xdr:colOff>
      <xdr:row>13</xdr:row>
      <xdr:rowOff>25400</xdr:rowOff>
    </xdr:from>
    <xdr:to>
      <xdr:col>0</xdr:col>
      <xdr:colOff>563268</xdr:colOff>
      <xdr:row>13</xdr:row>
      <xdr:rowOff>260350</xdr:rowOff>
    </xdr:to>
    <xdr:pic macro="nada">
      <xdr:nvPicPr>
        <xdr:cNvPr id="1032" name="TIME 2">
          <a:extLst>
            <a:ext uri="{FF2B5EF4-FFF2-40B4-BE49-F238E27FC236}">
              <a16:creationId xmlns:a16="http://schemas.microsoft.com/office/drawing/2014/main" id="{C366D7AF-9ADA-460C-AD4C-E67832795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406400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389231</xdr:colOff>
      <xdr:row>15</xdr:row>
      <xdr:rowOff>25400</xdr:rowOff>
    </xdr:from>
    <xdr:to>
      <xdr:col>0</xdr:col>
      <xdr:colOff>563268</xdr:colOff>
      <xdr:row>15</xdr:row>
      <xdr:rowOff>260350</xdr:rowOff>
    </xdr:to>
    <xdr:pic macro="nada">
      <xdr:nvPicPr>
        <xdr:cNvPr id="1033" name="TIME 3">
          <a:extLst>
            <a:ext uri="{FF2B5EF4-FFF2-40B4-BE49-F238E27FC236}">
              <a16:creationId xmlns:a16="http://schemas.microsoft.com/office/drawing/2014/main" id="{B2DCF685-421B-44A6-B888-E0CC55D7C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463550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389231</xdr:colOff>
      <xdr:row>16</xdr:row>
      <xdr:rowOff>25400</xdr:rowOff>
    </xdr:from>
    <xdr:to>
      <xdr:col>0</xdr:col>
      <xdr:colOff>563268</xdr:colOff>
      <xdr:row>16</xdr:row>
      <xdr:rowOff>260350</xdr:rowOff>
    </xdr:to>
    <xdr:pic macro="nada">
      <xdr:nvPicPr>
        <xdr:cNvPr id="1034" name="TIME 4">
          <a:extLst>
            <a:ext uri="{FF2B5EF4-FFF2-40B4-BE49-F238E27FC236}">
              <a16:creationId xmlns:a16="http://schemas.microsoft.com/office/drawing/2014/main" id="{618162C3-DA67-40F7-9209-A9A5B8908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492125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389231</xdr:colOff>
      <xdr:row>17</xdr:row>
      <xdr:rowOff>25400</xdr:rowOff>
    </xdr:from>
    <xdr:to>
      <xdr:col>0</xdr:col>
      <xdr:colOff>563268</xdr:colOff>
      <xdr:row>17</xdr:row>
      <xdr:rowOff>260350</xdr:rowOff>
    </xdr:to>
    <xdr:pic macro="nada">
      <xdr:nvPicPr>
        <xdr:cNvPr id="6" name="TIME 5">
          <a:extLst>
            <a:ext uri="{FF2B5EF4-FFF2-40B4-BE49-F238E27FC236}">
              <a16:creationId xmlns:a16="http://schemas.microsoft.com/office/drawing/2014/main" id="{DB1DF199-E304-4EAF-94AD-2CA76D408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520700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389231</xdr:colOff>
      <xdr:row>18</xdr:row>
      <xdr:rowOff>25400</xdr:rowOff>
    </xdr:from>
    <xdr:to>
      <xdr:col>0</xdr:col>
      <xdr:colOff>563268</xdr:colOff>
      <xdr:row>18</xdr:row>
      <xdr:rowOff>260350</xdr:rowOff>
    </xdr:to>
    <xdr:pic macro="nada">
      <xdr:nvPicPr>
        <xdr:cNvPr id="1026" name="TIME 6">
          <a:extLst>
            <a:ext uri="{FF2B5EF4-FFF2-40B4-BE49-F238E27FC236}">
              <a16:creationId xmlns:a16="http://schemas.microsoft.com/office/drawing/2014/main" id="{587AF120-D942-423E-9A36-28C7839B5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231" y="5492750"/>
          <a:ext cx="174037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19</xdr:row>
      <xdr:rowOff>25400</xdr:rowOff>
    </xdr:from>
    <xdr:to>
      <xdr:col>0</xdr:col>
      <xdr:colOff>564597</xdr:colOff>
      <xdr:row>19</xdr:row>
      <xdr:rowOff>260350</xdr:rowOff>
    </xdr:to>
    <xdr:pic macro="nada">
      <xdr:nvPicPr>
        <xdr:cNvPr id="12" name="TIME 7">
          <a:extLst>
            <a:ext uri="{FF2B5EF4-FFF2-40B4-BE49-F238E27FC236}">
              <a16:creationId xmlns:a16="http://schemas.microsoft.com/office/drawing/2014/main" id="{3A0AE885-4AD4-4800-BE19-50BF5262E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5778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20</xdr:row>
      <xdr:rowOff>25400</xdr:rowOff>
    </xdr:from>
    <xdr:to>
      <xdr:col>0</xdr:col>
      <xdr:colOff>564597</xdr:colOff>
      <xdr:row>20</xdr:row>
      <xdr:rowOff>260350</xdr:rowOff>
    </xdr:to>
    <xdr:pic macro="nada">
      <xdr:nvPicPr>
        <xdr:cNvPr id="13" name="TIME 8">
          <a:extLst>
            <a:ext uri="{FF2B5EF4-FFF2-40B4-BE49-F238E27FC236}">
              <a16:creationId xmlns:a16="http://schemas.microsoft.com/office/drawing/2014/main" id="{3624C85B-5302-4EE8-8C80-BF692DAB7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064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21</xdr:row>
      <xdr:rowOff>25400</xdr:rowOff>
    </xdr:from>
    <xdr:to>
      <xdr:col>0</xdr:col>
      <xdr:colOff>564597</xdr:colOff>
      <xdr:row>21</xdr:row>
      <xdr:rowOff>260350</xdr:rowOff>
    </xdr:to>
    <xdr:pic macro="nada">
      <xdr:nvPicPr>
        <xdr:cNvPr id="14" name="TIME 9">
          <a:extLst>
            <a:ext uri="{FF2B5EF4-FFF2-40B4-BE49-F238E27FC236}">
              <a16:creationId xmlns:a16="http://schemas.microsoft.com/office/drawing/2014/main" id="{5FA2B2C4-FC65-4C8A-A815-63BA2FFA51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350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25400</xdr:rowOff>
    </xdr:from>
    <xdr:to>
      <xdr:col>0</xdr:col>
      <xdr:colOff>564597</xdr:colOff>
      <xdr:row>3</xdr:row>
      <xdr:rowOff>260350</xdr:rowOff>
    </xdr:to>
    <xdr:pic macro="nada">
      <xdr:nvPicPr>
        <xdr:cNvPr id="15" name="TIME 10">
          <a:extLst>
            <a:ext uri="{FF2B5EF4-FFF2-40B4-BE49-F238E27FC236}">
              <a16:creationId xmlns:a16="http://schemas.microsoft.com/office/drawing/2014/main" id="{BCA55FF2-B380-427E-9092-83C5C236B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206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4</xdr:row>
      <xdr:rowOff>25400</xdr:rowOff>
    </xdr:from>
    <xdr:to>
      <xdr:col>0</xdr:col>
      <xdr:colOff>564597</xdr:colOff>
      <xdr:row>4</xdr:row>
      <xdr:rowOff>260350</xdr:rowOff>
    </xdr:to>
    <xdr:pic macro="nada">
      <xdr:nvPicPr>
        <xdr:cNvPr id="16" name="TIME 11">
          <a:extLst>
            <a:ext uri="{FF2B5EF4-FFF2-40B4-BE49-F238E27FC236}">
              <a16:creationId xmlns:a16="http://schemas.microsoft.com/office/drawing/2014/main" id="{D801668D-3667-467C-A52A-7C8CB67F5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492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5</xdr:row>
      <xdr:rowOff>25400</xdr:rowOff>
    </xdr:from>
    <xdr:to>
      <xdr:col>0</xdr:col>
      <xdr:colOff>564597</xdr:colOff>
      <xdr:row>5</xdr:row>
      <xdr:rowOff>260350</xdr:rowOff>
    </xdr:to>
    <xdr:pic macro="nada">
      <xdr:nvPicPr>
        <xdr:cNvPr id="17" name="TIME 12">
          <a:extLst>
            <a:ext uri="{FF2B5EF4-FFF2-40B4-BE49-F238E27FC236}">
              <a16:creationId xmlns:a16="http://schemas.microsoft.com/office/drawing/2014/main" id="{B119F0AA-D205-4002-BD71-55F00576E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778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6</xdr:row>
      <xdr:rowOff>25400</xdr:rowOff>
    </xdr:from>
    <xdr:to>
      <xdr:col>0</xdr:col>
      <xdr:colOff>564597</xdr:colOff>
      <xdr:row>6</xdr:row>
      <xdr:rowOff>260350</xdr:rowOff>
    </xdr:to>
    <xdr:pic macro="nada">
      <xdr:nvPicPr>
        <xdr:cNvPr id="1028" name="TIME 13">
          <a:extLst>
            <a:ext uri="{FF2B5EF4-FFF2-40B4-BE49-F238E27FC236}">
              <a16:creationId xmlns:a16="http://schemas.microsoft.com/office/drawing/2014/main" id="{35BBFF35-A934-4B01-81E4-BF10AA302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2063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7</xdr:row>
      <xdr:rowOff>25400</xdr:rowOff>
    </xdr:from>
    <xdr:to>
      <xdr:col>0</xdr:col>
      <xdr:colOff>564597</xdr:colOff>
      <xdr:row>7</xdr:row>
      <xdr:rowOff>260350</xdr:rowOff>
    </xdr:to>
    <xdr:pic macro="nada">
      <xdr:nvPicPr>
        <xdr:cNvPr id="18" name="TIME 14">
          <a:extLst>
            <a:ext uri="{FF2B5EF4-FFF2-40B4-BE49-F238E27FC236}">
              <a16:creationId xmlns:a16="http://schemas.microsoft.com/office/drawing/2014/main" id="{5B7D3027-FDE9-4C0B-8126-02275F77B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2349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8</xdr:row>
      <xdr:rowOff>25400</xdr:rowOff>
    </xdr:from>
    <xdr:to>
      <xdr:col>0</xdr:col>
      <xdr:colOff>564597</xdr:colOff>
      <xdr:row>8</xdr:row>
      <xdr:rowOff>260350</xdr:rowOff>
    </xdr:to>
    <xdr:pic macro="nada">
      <xdr:nvPicPr>
        <xdr:cNvPr id="1030" name="TIME 15">
          <a:extLst>
            <a:ext uri="{FF2B5EF4-FFF2-40B4-BE49-F238E27FC236}">
              <a16:creationId xmlns:a16="http://schemas.microsoft.com/office/drawing/2014/main" id="{88304690-FBCF-43F8-80ED-DB7CD6D3E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2635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9</xdr:row>
      <xdr:rowOff>25400</xdr:rowOff>
    </xdr:from>
    <xdr:to>
      <xdr:col>0</xdr:col>
      <xdr:colOff>564597</xdr:colOff>
      <xdr:row>9</xdr:row>
      <xdr:rowOff>260350</xdr:rowOff>
    </xdr:to>
    <xdr:pic macro="nada">
      <xdr:nvPicPr>
        <xdr:cNvPr id="1031" name="TIME 16">
          <a:extLst>
            <a:ext uri="{FF2B5EF4-FFF2-40B4-BE49-F238E27FC236}">
              <a16:creationId xmlns:a16="http://schemas.microsoft.com/office/drawing/2014/main" id="{9508FD54-6E6A-4DF0-BCF3-B0CCD0198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2921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10</xdr:row>
      <xdr:rowOff>25400</xdr:rowOff>
    </xdr:from>
    <xdr:to>
      <xdr:col>0</xdr:col>
      <xdr:colOff>564597</xdr:colOff>
      <xdr:row>10</xdr:row>
      <xdr:rowOff>260350</xdr:rowOff>
    </xdr:to>
    <xdr:pic macro="nada">
      <xdr:nvPicPr>
        <xdr:cNvPr id="19" name="TIME 17">
          <a:extLst>
            <a:ext uri="{FF2B5EF4-FFF2-40B4-BE49-F238E27FC236}">
              <a16:creationId xmlns:a16="http://schemas.microsoft.com/office/drawing/2014/main" id="{14A59F0E-B7BC-46C6-B349-C8AA06893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3206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11</xdr:row>
      <xdr:rowOff>25400</xdr:rowOff>
    </xdr:from>
    <xdr:to>
      <xdr:col>0</xdr:col>
      <xdr:colOff>564597</xdr:colOff>
      <xdr:row>11</xdr:row>
      <xdr:rowOff>260350</xdr:rowOff>
    </xdr:to>
    <xdr:pic macro="nada">
      <xdr:nvPicPr>
        <xdr:cNvPr id="20" name="TIME 18">
          <a:extLst>
            <a:ext uri="{FF2B5EF4-FFF2-40B4-BE49-F238E27FC236}">
              <a16:creationId xmlns:a16="http://schemas.microsoft.com/office/drawing/2014/main" id="{BF2D6DE8-36B0-4B61-B427-86C092435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3492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12</xdr:row>
      <xdr:rowOff>25400</xdr:rowOff>
    </xdr:from>
    <xdr:to>
      <xdr:col>0</xdr:col>
      <xdr:colOff>564597</xdr:colOff>
      <xdr:row>12</xdr:row>
      <xdr:rowOff>260350</xdr:rowOff>
    </xdr:to>
    <xdr:pic macro="nada">
      <xdr:nvPicPr>
        <xdr:cNvPr id="21" name="TIME 19">
          <a:extLst>
            <a:ext uri="{FF2B5EF4-FFF2-40B4-BE49-F238E27FC236}">
              <a16:creationId xmlns:a16="http://schemas.microsoft.com/office/drawing/2014/main" id="{3105BCE6-59B8-4FE0-B0BE-A6A66A14A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3778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14</xdr:row>
      <xdr:rowOff>25400</xdr:rowOff>
    </xdr:from>
    <xdr:to>
      <xdr:col>0</xdr:col>
      <xdr:colOff>564597</xdr:colOff>
      <xdr:row>14</xdr:row>
      <xdr:rowOff>260350</xdr:rowOff>
    </xdr:to>
    <xdr:pic macro="nada">
      <xdr:nvPicPr>
        <xdr:cNvPr id="1035" name="TIME 20">
          <a:extLst>
            <a:ext uri="{FF2B5EF4-FFF2-40B4-BE49-F238E27FC236}">
              <a16:creationId xmlns:a16="http://schemas.microsoft.com/office/drawing/2014/main" id="{D3D76CB9-2B7C-4F29-BA69-FF231BD21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4349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36" name="TIME 21" hidden="1">
          <a:extLst>
            <a:ext uri="{FF2B5EF4-FFF2-40B4-BE49-F238E27FC236}">
              <a16:creationId xmlns:a16="http://schemas.microsoft.com/office/drawing/2014/main" id="{1DDC389A-C632-4C1B-8F38-DB36B48F7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4921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37" name="TIME 22" hidden="1">
          <a:extLst>
            <a:ext uri="{FF2B5EF4-FFF2-40B4-BE49-F238E27FC236}">
              <a16:creationId xmlns:a16="http://schemas.microsoft.com/office/drawing/2014/main" id="{A5C5FCED-AF1E-4760-B2CC-9EDF86AEC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5207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38" name="TIME 23" hidden="1">
          <a:extLst>
            <a:ext uri="{FF2B5EF4-FFF2-40B4-BE49-F238E27FC236}">
              <a16:creationId xmlns:a16="http://schemas.microsoft.com/office/drawing/2014/main" id="{5FB5AFF0-FAFA-4416-9B28-AEA765847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5492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39" name="TIME 24" hidden="1">
          <a:extLst>
            <a:ext uri="{FF2B5EF4-FFF2-40B4-BE49-F238E27FC236}">
              <a16:creationId xmlns:a16="http://schemas.microsoft.com/office/drawing/2014/main" id="{13B7ADA3-6C1E-409C-A5A6-0FCF5D8169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5778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0" name="TIME 25" hidden="1">
          <a:extLst>
            <a:ext uri="{FF2B5EF4-FFF2-40B4-BE49-F238E27FC236}">
              <a16:creationId xmlns:a16="http://schemas.microsoft.com/office/drawing/2014/main" id="{8CD33A1C-F9B9-4F89-9D46-7EC79DD35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064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1" name="TIME 26" hidden="1">
          <a:extLst>
            <a:ext uri="{FF2B5EF4-FFF2-40B4-BE49-F238E27FC236}">
              <a16:creationId xmlns:a16="http://schemas.microsoft.com/office/drawing/2014/main" id="{025A05BE-6310-4312-9823-1284926E1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350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2" name="TIME 27" hidden="1">
          <a:extLst>
            <a:ext uri="{FF2B5EF4-FFF2-40B4-BE49-F238E27FC236}">
              <a16:creationId xmlns:a16="http://schemas.microsoft.com/office/drawing/2014/main" id="{FEF5A5CC-EB73-4768-9E07-3DE8412D2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635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3" name="TIME 28" hidden="1">
          <a:extLst>
            <a:ext uri="{FF2B5EF4-FFF2-40B4-BE49-F238E27FC236}">
              <a16:creationId xmlns:a16="http://schemas.microsoft.com/office/drawing/2014/main" id="{320E45A3-CA60-43F2-B0EC-FC1D3DDC9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921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4" name="TIME 29" hidden="1">
          <a:extLst>
            <a:ext uri="{FF2B5EF4-FFF2-40B4-BE49-F238E27FC236}">
              <a16:creationId xmlns:a16="http://schemas.microsoft.com/office/drawing/2014/main" id="{0F696BBC-549E-4F23-91EC-E61249C0E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7207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5" name="TIME 30" hidden="1">
          <a:extLst>
            <a:ext uri="{FF2B5EF4-FFF2-40B4-BE49-F238E27FC236}">
              <a16:creationId xmlns:a16="http://schemas.microsoft.com/office/drawing/2014/main" id="{0B80292F-6F21-4C66-9D2C-B6254A33E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7778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6" name="TIME 31" hidden="1">
          <a:extLst>
            <a:ext uri="{FF2B5EF4-FFF2-40B4-BE49-F238E27FC236}">
              <a16:creationId xmlns:a16="http://schemas.microsoft.com/office/drawing/2014/main" id="{F1931154-3800-4494-9BDF-563D006F15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8064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7" name="TIME 32" hidden="1">
          <a:extLst>
            <a:ext uri="{FF2B5EF4-FFF2-40B4-BE49-F238E27FC236}">
              <a16:creationId xmlns:a16="http://schemas.microsoft.com/office/drawing/2014/main" id="{CBBC46EF-6EF3-4846-B7AE-AB23111D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4922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8" name="TIME 33" hidden="1">
          <a:extLst>
            <a:ext uri="{FF2B5EF4-FFF2-40B4-BE49-F238E27FC236}">
              <a16:creationId xmlns:a16="http://schemas.microsoft.com/office/drawing/2014/main" id="{4853F5F9-DCA6-453C-9D3A-0DEA9B982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8350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49" name="TIME 34" hidden="1">
          <a:extLst>
            <a:ext uri="{FF2B5EF4-FFF2-40B4-BE49-F238E27FC236}">
              <a16:creationId xmlns:a16="http://schemas.microsoft.com/office/drawing/2014/main" id="{6BD75921-5264-4FD1-890D-712F9554E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8636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0" name="TIME 35" hidden="1">
          <a:extLst>
            <a:ext uri="{FF2B5EF4-FFF2-40B4-BE49-F238E27FC236}">
              <a16:creationId xmlns:a16="http://schemas.microsoft.com/office/drawing/2014/main" id="{9C6E0476-C151-4067-A6FC-3958B22A7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8921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1" name="TIME 36" hidden="1">
          <a:extLst>
            <a:ext uri="{FF2B5EF4-FFF2-40B4-BE49-F238E27FC236}">
              <a16:creationId xmlns:a16="http://schemas.microsoft.com/office/drawing/2014/main" id="{C6543105-070F-488F-BF70-19576E0D3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9207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2</xdr:row>
      <xdr:rowOff>25400</xdr:rowOff>
    </xdr:from>
    <xdr:to>
      <xdr:col>0</xdr:col>
      <xdr:colOff>564597</xdr:colOff>
      <xdr:row>2</xdr:row>
      <xdr:rowOff>260350</xdr:rowOff>
    </xdr:to>
    <xdr:pic macro="nada">
      <xdr:nvPicPr>
        <xdr:cNvPr id="1052" name="TIME 37" hidden="1">
          <a:extLst>
            <a:ext uri="{FF2B5EF4-FFF2-40B4-BE49-F238E27FC236}">
              <a16:creationId xmlns:a16="http://schemas.microsoft.com/office/drawing/2014/main" id="{BF029531-060A-4A7F-91E2-F98DE81B3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920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3" name="TIME 38" hidden="1">
          <a:extLst>
            <a:ext uri="{FF2B5EF4-FFF2-40B4-BE49-F238E27FC236}">
              <a16:creationId xmlns:a16="http://schemas.microsoft.com/office/drawing/2014/main" id="{BCB5A353-ED29-486A-85EF-1582C9714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9493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4" name="TIME 39" hidden="1">
          <a:extLst>
            <a:ext uri="{FF2B5EF4-FFF2-40B4-BE49-F238E27FC236}">
              <a16:creationId xmlns:a16="http://schemas.microsoft.com/office/drawing/2014/main" id="{A07093FD-1788-41E0-9AB2-045369C4F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9779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5" name="TIME 40" hidden="1">
          <a:extLst>
            <a:ext uri="{FF2B5EF4-FFF2-40B4-BE49-F238E27FC236}">
              <a16:creationId xmlns:a16="http://schemas.microsoft.com/office/drawing/2014/main" id="{4DA11E42-B35B-4C77-BD2C-6BD72D0AD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0350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6" name="TIME 41" hidden="1">
          <a:extLst>
            <a:ext uri="{FF2B5EF4-FFF2-40B4-BE49-F238E27FC236}">
              <a16:creationId xmlns:a16="http://schemas.microsoft.com/office/drawing/2014/main" id="{BAD31E58-64CC-463C-98B3-7BB230597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0636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7" name="TIME 42" hidden="1">
          <a:extLst>
            <a:ext uri="{FF2B5EF4-FFF2-40B4-BE49-F238E27FC236}">
              <a16:creationId xmlns:a16="http://schemas.microsoft.com/office/drawing/2014/main" id="{73FF5EAF-53C6-47CC-A845-A10B7205B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0922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8" name="TIME 43" hidden="1">
          <a:extLst>
            <a:ext uri="{FF2B5EF4-FFF2-40B4-BE49-F238E27FC236}">
              <a16:creationId xmlns:a16="http://schemas.microsoft.com/office/drawing/2014/main" id="{05D6AB0C-B718-46D2-9FE8-3E37FCE3E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1207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59" name="TIME 44" hidden="1">
          <a:extLst>
            <a:ext uri="{FF2B5EF4-FFF2-40B4-BE49-F238E27FC236}">
              <a16:creationId xmlns:a16="http://schemas.microsoft.com/office/drawing/2014/main" id="{6ECB499C-2947-42F1-96B5-2C6C3BCBD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1493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0" name="TIME 45" hidden="1">
          <a:extLst>
            <a:ext uri="{FF2B5EF4-FFF2-40B4-BE49-F238E27FC236}">
              <a16:creationId xmlns:a16="http://schemas.microsoft.com/office/drawing/2014/main" id="{FECF22AF-8F4D-4A1E-9166-B8EFD41AC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1779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1" name="TIME 46" hidden="1">
          <a:extLst>
            <a:ext uri="{FF2B5EF4-FFF2-40B4-BE49-F238E27FC236}">
              <a16:creationId xmlns:a16="http://schemas.microsoft.com/office/drawing/2014/main" id="{C0056670-B7A2-4769-87D5-274056034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2065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2" name="TIME 47" hidden="1">
          <a:extLst>
            <a:ext uri="{FF2B5EF4-FFF2-40B4-BE49-F238E27FC236}">
              <a16:creationId xmlns:a16="http://schemas.microsoft.com/office/drawing/2014/main" id="{E8E20D8A-C48A-4FCA-96BD-3D18A7FBD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2350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3" name="TIME 48" hidden="1">
          <a:extLst>
            <a:ext uri="{FF2B5EF4-FFF2-40B4-BE49-F238E27FC236}">
              <a16:creationId xmlns:a16="http://schemas.microsoft.com/office/drawing/2014/main" id="{20B2B0A4-C0B3-4EA8-A94C-5FD86DAC5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26365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4" name="TIME 49" hidden="1">
          <a:extLst>
            <a:ext uri="{FF2B5EF4-FFF2-40B4-BE49-F238E27FC236}">
              <a16:creationId xmlns:a16="http://schemas.microsoft.com/office/drawing/2014/main" id="{8D844FB3-3B2F-4152-80AB-6304F7BC50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29222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 macro="nada">
      <xdr:nvPicPr>
        <xdr:cNvPr id="1065" name="TIME 50" hidden="1">
          <a:extLst>
            <a:ext uri="{FF2B5EF4-FFF2-40B4-BE49-F238E27FC236}">
              <a16:creationId xmlns:a16="http://schemas.microsoft.com/office/drawing/2014/main" id="{3894D9CE-2A6C-4CCE-9A8A-21D2E5EFD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1349375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387903</xdr:colOff>
      <xdr:row>3</xdr:row>
      <xdr:rowOff>0</xdr:rowOff>
    </xdr:from>
    <xdr:to>
      <xdr:col>0</xdr:col>
      <xdr:colOff>564597</xdr:colOff>
      <xdr:row>3</xdr:row>
      <xdr:rowOff>234950</xdr:rowOff>
    </xdr:to>
    <xdr:pic>
      <xdr:nvPicPr>
        <xdr:cNvPr id="1066" name="TIME 51" hidden="1">
          <a:extLst>
            <a:ext uri="{FF2B5EF4-FFF2-40B4-BE49-F238E27FC236}">
              <a16:creationId xmlns:a16="http://schemas.microsoft.com/office/drawing/2014/main" id="{F1C4C704-33EF-443A-BB13-34E156343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903" y="6350000"/>
          <a:ext cx="176694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7298-A817-446A-9322-47BBA4EB6A64}">
  <sheetPr codeName="Planilha1"/>
  <dimension ref="A1:J403"/>
  <sheetViews>
    <sheetView workbookViewId="0">
      <selection activeCell="H34" sqref="H34"/>
    </sheetView>
  </sheetViews>
  <sheetFormatPr defaultRowHeight="15" x14ac:dyDescent="0.25"/>
  <cols>
    <col min="1" max="3" width="9.140625" style="1"/>
    <col min="5" max="10" width="9.140625" style="1"/>
  </cols>
  <sheetData>
    <row r="1" spans="1:10" x14ac:dyDescent="0.25">
      <c r="A1" s="14" t="s">
        <v>10</v>
      </c>
      <c r="B1" s="14" t="s">
        <v>6</v>
      </c>
      <c r="C1" s="14" t="s">
        <v>10</v>
      </c>
      <c r="E1" s="14" t="s">
        <v>6</v>
      </c>
      <c r="F1" s="14" t="s">
        <v>7</v>
      </c>
      <c r="G1" s="14" t="s">
        <v>1</v>
      </c>
      <c r="H1" s="14" t="s">
        <v>0</v>
      </c>
      <c r="I1" s="14" t="s">
        <v>8</v>
      </c>
      <c r="J1" s="14" t="s">
        <v>9</v>
      </c>
    </row>
    <row r="2" spans="1:10" x14ac:dyDescent="0.25">
      <c r="A2" s="15">
        <v>1</v>
      </c>
      <c r="B2" s="15" t="s">
        <v>28</v>
      </c>
      <c r="C2" s="15">
        <v>1</v>
      </c>
      <c r="E2" s="15" t="str">
        <f>B2</f>
        <v>TIME 8</v>
      </c>
      <c r="F2" s="15">
        <f>COUNTIFS($F$24:$F$403,VLOOKUP($E2,$B$2:$C$21,2,0),$J$24:$J$403,"&gt;0")+COUNTIFS($G$24:$G$403,VLOOKUP($E2,$B$2:$C$21,2,0),$J$24:$J$403,"&lt;0")</f>
        <v>0</v>
      </c>
      <c r="G2" s="15">
        <f>COUNTIFS($F$24:$F$403,VLOOKUP($E2,$B$2:$C$21,2,0),$J$24:$J$403,"=0",$H$24:$H$403,"&gt;=0")+COUNTIFS($G$24:$G$403,VLOOKUP($E2,$B$2:$C$21,2,0),$J$24:$J$403,"=0",$I$24:$I$403,"&gt;=0")</f>
        <v>0</v>
      </c>
      <c r="H2" s="15">
        <f>COUNTIFS($F$24:$F$403,VLOOKUP($E2,$B$2:$C$21,2,0),$J$24:$J$403,"&lt;0")+COUNTIFS($G$24:$G$403,VLOOKUP($E2,$B$2:$C$21,2,0),$J$24:$J$403,"&gt;0")</f>
        <v>0</v>
      </c>
      <c r="I2" s="15">
        <f>SUMIFS($H$24:$H$403,$F$24:$F$403,VLOOKUP($E2,$B$2:$C$21,2,0))+SUMIFS($I$24:$I$403,$G$24:$G$403,VLOOKUP($E2,$B$2:$C$21,2,0))</f>
        <v>0</v>
      </c>
      <c r="J2" s="15">
        <f>SUMIFS($I$24:$I$403,$F$24:$F$403,VLOOKUP($E2,$B$2:$C$21,2,0))+SUMIFS($H$24:$H$403,$G$24:$G$403,VLOOKUP($E2,$B$2:$C$21,2,0))</f>
        <v>0</v>
      </c>
    </row>
    <row r="3" spans="1:10" x14ac:dyDescent="0.25">
      <c r="A3" s="15">
        <v>2</v>
      </c>
      <c r="B3" s="15" t="s">
        <v>4</v>
      </c>
      <c r="C3" s="15">
        <v>2</v>
      </c>
      <c r="E3" s="15" t="str">
        <f>B3</f>
        <v>TIME 2</v>
      </c>
      <c r="F3" s="15">
        <f>COUNTIFS($F$24:$F$403,VLOOKUP($E3,$B$2:$C$21,2,0),$J$24:$J$403,"&gt;0")+COUNTIFS($G$24:$G$403,VLOOKUP($E3,$B$2:$C$21,2,0),$J$24:$J$403,"&lt;0")</f>
        <v>0</v>
      </c>
      <c r="G3" s="15">
        <f>COUNTIFS($F$24:$F$403,VLOOKUP($E3,$B$2:$C$21,2,0),$J$24:$J$403,"=0",$H$24:$H$403,"&gt;=0")+COUNTIFS($G$24:$G$403,VLOOKUP($E3,$B$2:$C$21,2,0),$J$24:$J$403,"=0",$I$24:$I$403,"&gt;=0")</f>
        <v>0</v>
      </c>
      <c r="H3" s="15">
        <f>COUNTIFS($F$24:$F$403,VLOOKUP($E3,$B$2:$C$21,2,0),$J$24:$J$403,"&lt;0")+COUNTIFS($G$24:$G$403,VLOOKUP($E3,$B$2:$C$21,2,0),$J$24:$J$403,"&gt;0")</f>
        <v>0</v>
      </c>
      <c r="I3" s="15">
        <f>SUMIFS($H$24:$H$403,$F$24:$F$403,VLOOKUP($E3,$B$2:$C$21,2,0))+SUMIFS($I$24:$I$403,$G$24:$G$403,VLOOKUP($E3,$B$2:$C$21,2,0))</f>
        <v>0</v>
      </c>
      <c r="J3" s="15">
        <f>SUMIFS($I$24:$I$403,$F$24:$F$403,VLOOKUP($E3,$B$2:$C$21,2,0))+SUMIFS($H$24:$H$403,$G$24:$G$403,VLOOKUP($E3,$B$2:$C$21,2,0))</f>
        <v>0</v>
      </c>
    </row>
    <row r="4" spans="1:10" x14ac:dyDescent="0.25">
      <c r="A4" s="15">
        <v>3</v>
      </c>
      <c r="B4" s="15" t="s">
        <v>40</v>
      </c>
      <c r="C4" s="15">
        <v>3</v>
      </c>
      <c r="E4" s="15" t="str">
        <f>B4</f>
        <v>TIME 20</v>
      </c>
      <c r="F4" s="15">
        <f>COUNTIFS($F$24:$F$403,VLOOKUP($E4,$B$2:$C$21,2,0),$J$24:$J$403,"&gt;0")+COUNTIFS($G$24:$G$403,VLOOKUP($E4,$B$2:$C$21,2,0),$J$24:$J$403,"&lt;0")</f>
        <v>0</v>
      </c>
      <c r="G4" s="15">
        <f>COUNTIFS($F$24:$F$403,VLOOKUP($E4,$B$2:$C$21,2,0),$J$24:$J$403,"=0",$H$24:$H$403,"&gt;=0")+COUNTIFS($G$24:$G$403,VLOOKUP($E4,$B$2:$C$21,2,0),$J$24:$J$403,"=0",$I$24:$I$403,"&gt;=0")</f>
        <v>0</v>
      </c>
      <c r="H4" s="15">
        <f>COUNTIFS($F$24:$F$403,VLOOKUP($E4,$B$2:$C$21,2,0),$J$24:$J$403,"&lt;0")+COUNTIFS($G$24:$G$403,VLOOKUP($E4,$B$2:$C$21,2,0),$J$24:$J$403,"&gt;0")</f>
        <v>0</v>
      </c>
      <c r="I4" s="15">
        <f>SUMIFS($H$24:$H$403,$F$24:$F$403,VLOOKUP($E4,$B$2:$C$21,2,0))+SUMIFS($I$24:$I$403,$G$24:$G$403,VLOOKUP($E4,$B$2:$C$21,2,0))</f>
        <v>0</v>
      </c>
      <c r="J4" s="15">
        <f>SUMIFS($I$24:$I$403,$F$24:$F$403,VLOOKUP($E4,$B$2:$C$21,2,0))+SUMIFS($H$24:$H$403,$G$24:$G$403,VLOOKUP($E4,$B$2:$C$21,2,0))</f>
        <v>0</v>
      </c>
    </row>
    <row r="5" spans="1:10" x14ac:dyDescent="0.25">
      <c r="A5" s="15">
        <v>4</v>
      </c>
      <c r="B5" s="15" t="s">
        <v>29</v>
      </c>
      <c r="C5" s="15">
        <v>4</v>
      </c>
      <c r="E5" s="15" t="str">
        <f>B5</f>
        <v>TIME 9</v>
      </c>
      <c r="F5" s="15">
        <f>COUNTIFS($F$24:$F$403,VLOOKUP($E5,$B$2:$C$21,2,0),$J$24:$J$403,"&gt;0")+COUNTIFS($G$24:$G$403,VLOOKUP($E5,$B$2:$C$21,2,0),$J$24:$J$403,"&lt;0")</f>
        <v>0</v>
      </c>
      <c r="G5" s="15">
        <f>COUNTIFS($F$24:$F$403,VLOOKUP($E5,$B$2:$C$21,2,0),$J$24:$J$403,"=0",$H$24:$H$403,"&gt;=0")+COUNTIFS($G$24:$G$403,VLOOKUP($E5,$B$2:$C$21,2,0),$J$24:$J$403,"=0",$I$24:$I$403,"&gt;=0")</f>
        <v>0</v>
      </c>
      <c r="H5" s="15">
        <f>COUNTIFS($F$24:$F$403,VLOOKUP($E5,$B$2:$C$21,2,0),$J$24:$J$403,"&lt;0")+COUNTIFS($G$24:$G$403,VLOOKUP($E5,$B$2:$C$21,2,0),$J$24:$J$403,"&gt;0")</f>
        <v>0</v>
      </c>
      <c r="I5" s="15">
        <f>SUMIFS($H$24:$H$403,$F$24:$F$403,VLOOKUP($E5,$B$2:$C$21,2,0))+SUMIFS($I$24:$I$403,$G$24:$G$403,VLOOKUP($E5,$B$2:$C$21,2,0))</f>
        <v>0</v>
      </c>
      <c r="J5" s="15">
        <f>SUMIFS($I$24:$I$403,$F$24:$F$403,VLOOKUP($E5,$B$2:$C$21,2,0))+SUMIFS($H$24:$H$403,$G$24:$G$403,VLOOKUP($E5,$B$2:$C$21,2,0))</f>
        <v>0</v>
      </c>
    </row>
    <row r="6" spans="1:10" x14ac:dyDescent="0.25">
      <c r="A6" s="15">
        <v>5</v>
      </c>
      <c r="B6" s="15" t="s">
        <v>25</v>
      </c>
      <c r="C6" s="15">
        <v>5</v>
      </c>
      <c r="E6" s="15" t="str">
        <f>B6</f>
        <v>TIME 3</v>
      </c>
      <c r="F6" s="15">
        <f>COUNTIFS($F$24:$F$403,VLOOKUP($E6,$B$2:$C$21,2,0),$J$24:$J$403,"&gt;0")+COUNTIFS($G$24:$G$403,VLOOKUP($E6,$B$2:$C$21,2,0),$J$24:$J$403,"&lt;0")</f>
        <v>0</v>
      </c>
      <c r="G6" s="15">
        <f>COUNTIFS($F$24:$F$403,VLOOKUP($E6,$B$2:$C$21,2,0),$J$24:$J$403,"=0",$H$24:$H$403,"&gt;=0")+COUNTIFS($G$24:$G$403,VLOOKUP($E6,$B$2:$C$21,2,0),$J$24:$J$403,"=0",$I$24:$I$403,"&gt;=0")</f>
        <v>0</v>
      </c>
      <c r="H6" s="15">
        <f>COUNTIFS($F$24:$F$403,VLOOKUP($E6,$B$2:$C$21,2,0),$J$24:$J$403,"&lt;0")+COUNTIFS($G$24:$G$403,VLOOKUP($E6,$B$2:$C$21,2,0),$J$24:$J$403,"&gt;0")</f>
        <v>0</v>
      </c>
      <c r="I6" s="15">
        <f>SUMIFS($H$24:$H$403,$F$24:$F$403,VLOOKUP($E6,$B$2:$C$21,2,0))+SUMIFS($I$24:$I$403,$G$24:$G$403,VLOOKUP($E6,$B$2:$C$21,2,0))</f>
        <v>0</v>
      </c>
      <c r="J6" s="15">
        <f>SUMIFS($I$24:$I$403,$F$24:$F$403,VLOOKUP($E6,$B$2:$C$21,2,0))+SUMIFS($H$24:$H$403,$G$24:$G$403,VLOOKUP($E6,$B$2:$C$21,2,0))</f>
        <v>0</v>
      </c>
    </row>
    <row r="7" spans="1:10" x14ac:dyDescent="0.25">
      <c r="A7" s="15">
        <v>6</v>
      </c>
      <c r="B7" s="15" t="s">
        <v>5</v>
      </c>
      <c r="C7" s="15">
        <v>6</v>
      </c>
      <c r="E7" s="15" t="str">
        <f>B7</f>
        <v>TIME 4</v>
      </c>
      <c r="F7" s="15">
        <f>COUNTIFS($F$24:$F$403,VLOOKUP($E7,$B$2:$C$21,2,0),$J$24:$J$403,"&gt;0")+COUNTIFS($G$24:$G$403,VLOOKUP($E7,$B$2:$C$21,2,0),$J$24:$J$403,"&lt;0")</f>
        <v>0</v>
      </c>
      <c r="G7" s="15">
        <f>COUNTIFS($F$24:$F$403,VLOOKUP($E7,$B$2:$C$21,2,0),$J$24:$J$403,"=0",$H$24:$H$403,"&gt;=0")+COUNTIFS($G$24:$G$403,VLOOKUP($E7,$B$2:$C$21,2,0),$J$24:$J$403,"=0",$I$24:$I$403,"&gt;=0")</f>
        <v>0</v>
      </c>
      <c r="H7" s="15">
        <f>COUNTIFS($F$24:$F$403,VLOOKUP($E7,$B$2:$C$21,2,0),$J$24:$J$403,"&lt;0")+COUNTIFS($G$24:$G$403,VLOOKUP($E7,$B$2:$C$21,2,0),$J$24:$J$403,"&gt;0")</f>
        <v>0</v>
      </c>
      <c r="I7" s="15">
        <f>SUMIFS($H$24:$H$403,$F$24:$F$403,VLOOKUP($E7,$B$2:$C$21,2,0))+SUMIFS($I$24:$I$403,$G$24:$G$403,VLOOKUP($E7,$B$2:$C$21,2,0))</f>
        <v>0</v>
      </c>
      <c r="J7" s="15">
        <f>SUMIFS($I$24:$I$403,$F$24:$F$403,VLOOKUP($E7,$B$2:$C$21,2,0))+SUMIFS($H$24:$H$403,$G$24:$G$403,VLOOKUP($E7,$B$2:$C$21,2,0))</f>
        <v>0</v>
      </c>
    </row>
    <row r="8" spans="1:10" x14ac:dyDescent="0.25">
      <c r="A8" s="15">
        <v>7</v>
      </c>
      <c r="B8" s="15" t="s">
        <v>34</v>
      </c>
      <c r="C8" s="15">
        <v>7</v>
      </c>
      <c r="E8" s="15" t="str">
        <f>B8</f>
        <v>TIME 14</v>
      </c>
      <c r="F8" s="15">
        <f>COUNTIFS($F$24:$F$403,VLOOKUP($E8,$B$2:$C$21,2,0),$J$24:$J$403,"&gt;0")+COUNTIFS($G$24:$G$403,VLOOKUP($E8,$B$2:$C$21,2,0),$J$24:$J$403,"&lt;0")</f>
        <v>0</v>
      </c>
      <c r="G8" s="15">
        <f>COUNTIFS($F$24:$F$403,VLOOKUP($E8,$B$2:$C$21,2,0),$J$24:$J$403,"=0",$H$24:$H$403,"&gt;=0")+COUNTIFS($G$24:$G$403,VLOOKUP($E8,$B$2:$C$21,2,0),$J$24:$J$403,"=0",$I$24:$I$403,"&gt;=0")</f>
        <v>0</v>
      </c>
      <c r="H8" s="15">
        <f>COUNTIFS($F$24:$F$403,VLOOKUP($E8,$B$2:$C$21,2,0),$J$24:$J$403,"&lt;0")+COUNTIFS($G$24:$G$403,VLOOKUP($E8,$B$2:$C$21,2,0),$J$24:$J$403,"&gt;0")</f>
        <v>0</v>
      </c>
      <c r="I8" s="15">
        <f>SUMIFS($H$24:$H$403,$F$24:$F$403,VLOOKUP($E8,$B$2:$C$21,2,0))+SUMIFS($I$24:$I$403,$G$24:$G$403,VLOOKUP($E8,$B$2:$C$21,2,0))</f>
        <v>0</v>
      </c>
      <c r="J8" s="15">
        <f>SUMIFS($I$24:$I$403,$F$24:$F$403,VLOOKUP($E8,$B$2:$C$21,2,0))+SUMIFS($H$24:$H$403,$G$24:$G$403,VLOOKUP($E8,$B$2:$C$21,2,0))</f>
        <v>0</v>
      </c>
    </row>
    <row r="9" spans="1:10" x14ac:dyDescent="0.25">
      <c r="A9" s="15">
        <v>8</v>
      </c>
      <c r="B9" s="15" t="s">
        <v>24</v>
      </c>
      <c r="C9" s="15">
        <v>8</v>
      </c>
      <c r="E9" s="15" t="str">
        <f>B9</f>
        <v>TIME 6</v>
      </c>
      <c r="F9" s="15">
        <f>COUNTIFS($F$24:$F$403,VLOOKUP($E9,$B$2:$C$21,2,0),$J$24:$J$403,"&gt;0")+COUNTIFS($G$24:$G$403,VLOOKUP($E9,$B$2:$C$21,2,0),$J$24:$J$403,"&lt;0")</f>
        <v>0</v>
      </c>
      <c r="G9" s="15">
        <f>COUNTIFS($F$24:$F$403,VLOOKUP($E9,$B$2:$C$21,2,0),$J$24:$J$403,"=0",$H$24:$H$403,"&gt;=0")+COUNTIFS($G$24:$G$403,VLOOKUP($E9,$B$2:$C$21,2,0),$J$24:$J$403,"=0",$I$24:$I$403,"&gt;=0")</f>
        <v>0</v>
      </c>
      <c r="H9" s="15">
        <f>COUNTIFS($F$24:$F$403,VLOOKUP($E9,$B$2:$C$21,2,0),$J$24:$J$403,"&lt;0")+COUNTIFS($G$24:$G$403,VLOOKUP($E9,$B$2:$C$21,2,0),$J$24:$J$403,"&gt;0")</f>
        <v>0</v>
      </c>
      <c r="I9" s="15">
        <f>SUMIFS($H$24:$H$403,$F$24:$F$403,VLOOKUP($E9,$B$2:$C$21,2,0))+SUMIFS($I$24:$I$403,$G$24:$G$403,VLOOKUP($E9,$B$2:$C$21,2,0))</f>
        <v>0</v>
      </c>
      <c r="J9" s="15">
        <f>SUMIFS($I$24:$I$403,$F$24:$F$403,VLOOKUP($E9,$B$2:$C$21,2,0))+SUMIFS($H$24:$H$403,$G$24:$G$403,VLOOKUP($E9,$B$2:$C$21,2,0))</f>
        <v>0</v>
      </c>
    </row>
    <row r="10" spans="1:10" x14ac:dyDescent="0.25">
      <c r="A10" s="15">
        <v>9</v>
      </c>
      <c r="B10" s="15" t="s">
        <v>33</v>
      </c>
      <c r="C10" s="15">
        <v>9</v>
      </c>
      <c r="E10" s="15" t="str">
        <f>B10</f>
        <v>TIME 13</v>
      </c>
      <c r="F10" s="15">
        <f>COUNTIFS($F$24:$F$403,VLOOKUP($E10,$B$2:$C$21,2,0),$J$24:$J$403,"&gt;0")+COUNTIFS($G$24:$G$403,VLOOKUP($E10,$B$2:$C$21,2,0),$J$24:$J$403,"&lt;0")</f>
        <v>0</v>
      </c>
      <c r="G10" s="15">
        <f>COUNTIFS($F$24:$F$403,VLOOKUP($E10,$B$2:$C$21,2,0),$J$24:$J$403,"=0",$H$24:$H$403,"&gt;=0")+COUNTIFS($G$24:$G$403,VLOOKUP($E10,$B$2:$C$21,2,0),$J$24:$J$403,"=0",$I$24:$I$403,"&gt;=0")</f>
        <v>0</v>
      </c>
      <c r="H10" s="15">
        <f>COUNTIFS($F$24:$F$403,VLOOKUP($E10,$B$2:$C$21,2,0),$J$24:$J$403,"&lt;0")+COUNTIFS($G$24:$G$403,VLOOKUP($E10,$B$2:$C$21,2,0),$J$24:$J$403,"&gt;0")</f>
        <v>0</v>
      </c>
      <c r="I10" s="15">
        <f>SUMIFS($H$24:$H$403,$F$24:$F$403,VLOOKUP($E10,$B$2:$C$21,2,0))+SUMIFS($I$24:$I$403,$G$24:$G$403,VLOOKUP($E10,$B$2:$C$21,2,0))</f>
        <v>0</v>
      </c>
      <c r="J10" s="15">
        <f>SUMIFS($I$24:$I$403,$F$24:$F$403,VLOOKUP($E10,$B$2:$C$21,2,0))+SUMIFS($H$24:$H$403,$G$24:$G$403,VLOOKUP($E10,$B$2:$C$21,2,0))</f>
        <v>0</v>
      </c>
    </row>
    <row r="11" spans="1:10" x14ac:dyDescent="0.25">
      <c r="A11" s="15">
        <v>10</v>
      </c>
      <c r="B11" s="15" t="s">
        <v>35</v>
      </c>
      <c r="C11" s="15">
        <v>10</v>
      </c>
      <c r="E11" s="15" t="str">
        <f>B11</f>
        <v>TIME 15</v>
      </c>
      <c r="F11" s="15">
        <f>COUNTIFS($F$24:$F$403,VLOOKUP($E11,$B$2:$C$21,2,0),$J$24:$J$403,"&gt;0")+COUNTIFS($G$24:$G$403,VLOOKUP($E11,$B$2:$C$21,2,0),$J$24:$J$403,"&lt;0")</f>
        <v>0</v>
      </c>
      <c r="G11" s="15">
        <f>COUNTIFS($F$24:$F$403,VLOOKUP($E11,$B$2:$C$21,2,0),$J$24:$J$403,"=0",$H$24:$H$403,"&gt;=0")+COUNTIFS($G$24:$G$403,VLOOKUP($E11,$B$2:$C$21,2,0),$J$24:$J$403,"=0",$I$24:$I$403,"&gt;=0")</f>
        <v>0</v>
      </c>
      <c r="H11" s="15">
        <f>COUNTIFS($F$24:$F$403,VLOOKUP($E11,$B$2:$C$21,2,0),$J$24:$J$403,"&lt;0")+COUNTIFS($G$24:$G$403,VLOOKUP($E11,$B$2:$C$21,2,0),$J$24:$J$403,"&gt;0")</f>
        <v>0</v>
      </c>
      <c r="I11" s="15">
        <f>SUMIFS($H$24:$H$403,$F$24:$F$403,VLOOKUP($E11,$B$2:$C$21,2,0))+SUMIFS($I$24:$I$403,$G$24:$G$403,VLOOKUP($E11,$B$2:$C$21,2,0))</f>
        <v>0</v>
      </c>
      <c r="J11" s="15">
        <f>SUMIFS($I$24:$I$403,$F$24:$F$403,VLOOKUP($E11,$B$2:$C$21,2,0))+SUMIFS($H$24:$H$403,$G$24:$G$403,VLOOKUP($E11,$B$2:$C$21,2,0))</f>
        <v>0</v>
      </c>
    </row>
    <row r="12" spans="1:10" x14ac:dyDescent="0.25">
      <c r="A12" s="15">
        <v>11</v>
      </c>
      <c r="B12" s="15" t="s">
        <v>36</v>
      </c>
      <c r="C12" s="15">
        <v>11</v>
      </c>
      <c r="E12" s="15" t="str">
        <f>B12</f>
        <v>TIME 16</v>
      </c>
      <c r="F12" s="15">
        <f>COUNTIFS($F$24:$F$403,VLOOKUP($E12,$B$2:$C$21,2,0),$J$24:$J$403,"&gt;0")+COUNTIFS($G$24:$G$403,VLOOKUP($E12,$B$2:$C$21,2,0),$J$24:$J$403,"&lt;0")</f>
        <v>0</v>
      </c>
      <c r="G12" s="15">
        <f>COUNTIFS($F$24:$F$403,VLOOKUP($E12,$B$2:$C$21,2,0),$J$24:$J$403,"=0",$H$24:$H$403,"&gt;=0")+COUNTIFS($G$24:$G$403,VLOOKUP($E12,$B$2:$C$21,2,0),$J$24:$J$403,"=0",$I$24:$I$403,"&gt;=0")</f>
        <v>0</v>
      </c>
      <c r="H12" s="15">
        <f>COUNTIFS($F$24:$F$403,VLOOKUP($E12,$B$2:$C$21,2,0),$J$24:$J$403,"&lt;0")+COUNTIFS($G$24:$G$403,VLOOKUP($E12,$B$2:$C$21,2,0),$J$24:$J$403,"&gt;0")</f>
        <v>0</v>
      </c>
      <c r="I12" s="15">
        <f>SUMIFS($H$24:$H$403,$F$24:$F$403,VLOOKUP($E12,$B$2:$C$21,2,0))+SUMIFS($I$24:$I$403,$G$24:$G$403,VLOOKUP($E12,$B$2:$C$21,2,0))</f>
        <v>0</v>
      </c>
      <c r="J12" s="15">
        <f>SUMIFS($I$24:$I$403,$F$24:$F$403,VLOOKUP($E12,$B$2:$C$21,2,0))+SUMIFS($H$24:$H$403,$G$24:$G$403,VLOOKUP($E12,$B$2:$C$21,2,0))</f>
        <v>0</v>
      </c>
    </row>
    <row r="13" spans="1:10" x14ac:dyDescent="0.25">
      <c r="A13" s="15">
        <v>12</v>
      </c>
      <c r="B13" s="15" t="s">
        <v>37</v>
      </c>
      <c r="C13" s="15">
        <v>12</v>
      </c>
      <c r="E13" s="15" t="str">
        <f>B13</f>
        <v>TIME 17</v>
      </c>
      <c r="F13" s="15">
        <f>COUNTIFS($F$24:$F$403,VLOOKUP($E13,$B$2:$C$21,2,0),$J$24:$J$403,"&gt;0")+COUNTIFS($G$24:$G$403,VLOOKUP($E13,$B$2:$C$21,2,0),$J$24:$J$403,"&lt;0")</f>
        <v>0</v>
      </c>
      <c r="G13" s="15">
        <f>COUNTIFS($F$24:$F$403,VLOOKUP($E13,$B$2:$C$21,2,0),$J$24:$J$403,"=0",$H$24:$H$403,"&gt;=0")+COUNTIFS($G$24:$G$403,VLOOKUP($E13,$B$2:$C$21,2,0),$J$24:$J$403,"=0",$I$24:$I$403,"&gt;=0")</f>
        <v>0</v>
      </c>
      <c r="H13" s="15">
        <f>COUNTIFS($F$24:$F$403,VLOOKUP($E13,$B$2:$C$21,2,0),$J$24:$J$403,"&lt;0")+COUNTIFS($G$24:$G$403,VLOOKUP($E13,$B$2:$C$21,2,0),$J$24:$J$403,"&gt;0")</f>
        <v>0</v>
      </c>
      <c r="I13" s="15">
        <f>SUMIFS($H$24:$H$403,$F$24:$F$403,VLOOKUP($E13,$B$2:$C$21,2,0))+SUMIFS($I$24:$I$403,$G$24:$G$403,VLOOKUP($E13,$B$2:$C$21,2,0))</f>
        <v>0</v>
      </c>
      <c r="J13" s="15">
        <f>SUMIFS($I$24:$I$403,$F$24:$F$403,VLOOKUP($E13,$B$2:$C$21,2,0))+SUMIFS($H$24:$H$403,$G$24:$G$403,VLOOKUP($E13,$B$2:$C$21,2,0))</f>
        <v>0</v>
      </c>
    </row>
    <row r="14" spans="1:10" x14ac:dyDescent="0.25">
      <c r="A14" s="15">
        <v>13</v>
      </c>
      <c r="B14" s="15" t="s">
        <v>39</v>
      </c>
      <c r="C14" s="15">
        <v>13</v>
      </c>
      <c r="E14" s="15" t="str">
        <f>B14</f>
        <v>TIME 19</v>
      </c>
      <c r="F14" s="15">
        <f>COUNTIFS($F$24:$F$403,VLOOKUP($E14,$B$2:$C$21,2,0),$J$24:$J$403,"&gt;0")+COUNTIFS($G$24:$G$403,VLOOKUP($E14,$B$2:$C$21,2,0),$J$24:$J$403,"&lt;0")</f>
        <v>0</v>
      </c>
      <c r="G14" s="15">
        <f>COUNTIFS($F$24:$F$403,VLOOKUP($E14,$B$2:$C$21,2,0),$J$24:$J$403,"=0",$H$24:$H$403,"&gt;=0")+COUNTIFS($G$24:$G$403,VLOOKUP($E14,$B$2:$C$21,2,0),$J$24:$J$403,"=0",$I$24:$I$403,"&gt;=0")</f>
        <v>0</v>
      </c>
      <c r="H14" s="15">
        <f>COUNTIFS($F$24:$F$403,VLOOKUP($E14,$B$2:$C$21,2,0),$J$24:$J$403,"&lt;0")+COUNTIFS($G$24:$G$403,VLOOKUP($E14,$B$2:$C$21,2,0),$J$24:$J$403,"&gt;0")</f>
        <v>0</v>
      </c>
      <c r="I14" s="15">
        <f>SUMIFS($H$24:$H$403,$F$24:$F$403,VLOOKUP($E14,$B$2:$C$21,2,0))+SUMIFS($I$24:$I$403,$G$24:$G$403,VLOOKUP($E14,$B$2:$C$21,2,0))</f>
        <v>0</v>
      </c>
      <c r="J14" s="15">
        <f>SUMIFS($I$24:$I$403,$F$24:$F$403,VLOOKUP($E14,$B$2:$C$21,2,0))+SUMIFS($H$24:$H$403,$G$24:$G$403,VLOOKUP($E14,$B$2:$C$21,2,0))</f>
        <v>0</v>
      </c>
    </row>
    <row r="15" spans="1:10" x14ac:dyDescent="0.25">
      <c r="A15" s="15">
        <v>14</v>
      </c>
      <c r="B15" s="15" t="s">
        <v>23</v>
      </c>
      <c r="C15" s="15">
        <v>14</v>
      </c>
      <c r="E15" s="15" t="str">
        <f>B15</f>
        <v>TIME 5</v>
      </c>
      <c r="F15" s="15">
        <f>COUNTIFS($F$24:$F$403,VLOOKUP($E15,$B$2:$C$21,2,0),$J$24:$J$403,"&gt;0")+COUNTIFS($G$24:$G$403,VLOOKUP($E15,$B$2:$C$21,2,0),$J$24:$J$403,"&lt;0")</f>
        <v>0</v>
      </c>
      <c r="G15" s="15">
        <f>COUNTIFS($F$24:$F$403,VLOOKUP($E15,$B$2:$C$21,2,0),$J$24:$J$403,"=0",$H$24:$H$403,"&gt;=0")+COUNTIFS($G$24:$G$403,VLOOKUP($E15,$B$2:$C$21,2,0),$J$24:$J$403,"=0",$I$24:$I$403,"&gt;=0")</f>
        <v>0</v>
      </c>
      <c r="H15" s="15">
        <f>COUNTIFS($F$24:$F$403,VLOOKUP($E15,$B$2:$C$21,2,0),$J$24:$J$403,"&lt;0")+COUNTIFS($G$24:$G$403,VLOOKUP($E15,$B$2:$C$21,2,0),$J$24:$J$403,"&gt;0")</f>
        <v>0</v>
      </c>
      <c r="I15" s="15">
        <f>SUMIFS($H$24:$H$403,$F$24:$F$403,VLOOKUP($E15,$B$2:$C$21,2,0))+SUMIFS($I$24:$I$403,$G$24:$G$403,VLOOKUP($E15,$B$2:$C$21,2,0))</f>
        <v>0</v>
      </c>
      <c r="J15" s="15">
        <f>SUMIFS($I$24:$I$403,$F$24:$F$403,VLOOKUP($E15,$B$2:$C$21,2,0))+SUMIFS($H$24:$H$403,$G$24:$G$403,VLOOKUP($E15,$B$2:$C$21,2,0))</f>
        <v>0</v>
      </c>
    </row>
    <row r="16" spans="1:10" x14ac:dyDescent="0.25">
      <c r="A16" s="15">
        <v>15</v>
      </c>
      <c r="B16" s="15" t="s">
        <v>32</v>
      </c>
      <c r="C16" s="15">
        <v>15</v>
      </c>
      <c r="E16" s="15" t="str">
        <f>B16</f>
        <v>TIME 12</v>
      </c>
      <c r="F16" s="15">
        <f>COUNTIFS($F$24:$F$403,VLOOKUP($E16,$B$2:$C$21,2,0),$J$24:$J$403,"&gt;0")+COUNTIFS($G$24:$G$403,VLOOKUP($E16,$B$2:$C$21,2,0),$J$24:$J$403,"&lt;0")</f>
        <v>0</v>
      </c>
      <c r="G16" s="15">
        <f>COUNTIFS($F$24:$F$403,VLOOKUP($E16,$B$2:$C$21,2,0),$J$24:$J$403,"=0",$H$24:$H$403,"&gt;=0")+COUNTIFS($G$24:$G$403,VLOOKUP($E16,$B$2:$C$21,2,0),$J$24:$J$403,"=0",$I$24:$I$403,"&gt;=0")</f>
        <v>0</v>
      </c>
      <c r="H16" s="15">
        <f>COUNTIFS($F$24:$F$403,VLOOKUP($E16,$B$2:$C$21,2,0),$J$24:$J$403,"&lt;0")+COUNTIFS($G$24:$G$403,VLOOKUP($E16,$B$2:$C$21,2,0),$J$24:$J$403,"&gt;0")</f>
        <v>0</v>
      </c>
      <c r="I16" s="15">
        <f>SUMIFS($H$24:$H$403,$F$24:$F$403,VLOOKUP($E16,$B$2:$C$21,2,0))+SUMIFS($I$24:$I$403,$G$24:$G$403,VLOOKUP($E16,$B$2:$C$21,2,0))</f>
        <v>0</v>
      </c>
      <c r="J16" s="15">
        <f>SUMIFS($I$24:$I$403,$F$24:$F$403,VLOOKUP($E16,$B$2:$C$21,2,0))+SUMIFS($H$24:$H$403,$G$24:$G$403,VLOOKUP($E16,$B$2:$C$21,2,0))</f>
        <v>0</v>
      </c>
    </row>
    <row r="17" spans="1:10" x14ac:dyDescent="0.25">
      <c r="A17" s="15">
        <v>16</v>
      </c>
      <c r="B17" s="15" t="s">
        <v>27</v>
      </c>
      <c r="C17" s="15">
        <v>16</v>
      </c>
      <c r="E17" s="15" t="str">
        <f>B17</f>
        <v>TIME 7</v>
      </c>
      <c r="F17" s="15">
        <f>COUNTIFS($F$24:$F$403,VLOOKUP($E17,$B$2:$C$21,2,0),$J$24:$J$403,"&gt;0")+COUNTIFS($G$24:$G$403,VLOOKUP($E17,$B$2:$C$21,2,0),$J$24:$J$403,"&lt;0")</f>
        <v>0</v>
      </c>
      <c r="G17" s="15">
        <f>COUNTIFS($F$24:$F$403,VLOOKUP($E17,$B$2:$C$21,2,0),$J$24:$J$403,"=0",$H$24:$H$403,"&gt;=0")+COUNTIFS($G$24:$G$403,VLOOKUP($E17,$B$2:$C$21,2,0),$J$24:$J$403,"=0",$I$24:$I$403,"&gt;=0")</f>
        <v>0</v>
      </c>
      <c r="H17" s="15">
        <f>COUNTIFS($F$24:$F$403,VLOOKUP($E17,$B$2:$C$21,2,0),$J$24:$J$403,"&lt;0")+COUNTIFS($G$24:$G$403,VLOOKUP($E17,$B$2:$C$21,2,0),$J$24:$J$403,"&gt;0")</f>
        <v>0</v>
      </c>
      <c r="I17" s="15">
        <f>SUMIFS($H$24:$H$403,$F$24:$F$403,VLOOKUP($E17,$B$2:$C$21,2,0))+SUMIFS($I$24:$I$403,$G$24:$G$403,VLOOKUP($E17,$B$2:$C$21,2,0))</f>
        <v>0</v>
      </c>
      <c r="J17" s="15">
        <f>SUMIFS($I$24:$I$403,$F$24:$F$403,VLOOKUP($E17,$B$2:$C$21,2,0))+SUMIFS($H$24:$H$403,$G$24:$G$403,VLOOKUP($E17,$B$2:$C$21,2,0))</f>
        <v>0</v>
      </c>
    </row>
    <row r="18" spans="1:10" x14ac:dyDescent="0.25">
      <c r="A18" s="15">
        <v>17</v>
      </c>
      <c r="B18" s="15" t="s">
        <v>31</v>
      </c>
      <c r="C18" s="15">
        <v>17</v>
      </c>
      <c r="E18" s="15" t="str">
        <f>B18</f>
        <v>TIME 11</v>
      </c>
      <c r="F18" s="15">
        <f>COUNTIFS($F$24:$F$403,VLOOKUP($E18,$B$2:$C$21,2,0),$J$24:$J$403,"&gt;0")+COUNTIFS($G$24:$G$403,VLOOKUP($E18,$B$2:$C$21,2,0),$J$24:$J$403,"&lt;0")</f>
        <v>0</v>
      </c>
      <c r="G18" s="15">
        <f>COUNTIFS($F$24:$F$403,VLOOKUP($E18,$B$2:$C$21,2,0),$J$24:$J$403,"=0",$H$24:$H$403,"&gt;=0")+COUNTIFS($G$24:$G$403,VLOOKUP($E18,$B$2:$C$21,2,0),$J$24:$J$403,"=0",$I$24:$I$403,"&gt;=0")</f>
        <v>0</v>
      </c>
      <c r="H18" s="15">
        <f>COUNTIFS($F$24:$F$403,VLOOKUP($E18,$B$2:$C$21,2,0),$J$24:$J$403,"&lt;0")+COUNTIFS($G$24:$G$403,VLOOKUP($E18,$B$2:$C$21,2,0),$J$24:$J$403,"&gt;0")</f>
        <v>0</v>
      </c>
      <c r="I18" s="15">
        <f>SUMIFS($H$24:$H$403,$F$24:$F$403,VLOOKUP($E18,$B$2:$C$21,2,0))+SUMIFS($I$24:$I$403,$G$24:$G$403,VLOOKUP($E18,$B$2:$C$21,2,0))</f>
        <v>0</v>
      </c>
      <c r="J18" s="15">
        <f>SUMIFS($I$24:$I$403,$F$24:$F$403,VLOOKUP($E18,$B$2:$C$21,2,0))+SUMIFS($H$24:$H$403,$G$24:$G$403,VLOOKUP($E18,$B$2:$C$21,2,0))</f>
        <v>0</v>
      </c>
    </row>
    <row r="19" spans="1:10" x14ac:dyDescent="0.25">
      <c r="A19" s="15">
        <v>18</v>
      </c>
      <c r="B19" s="15" t="s">
        <v>38</v>
      </c>
      <c r="C19" s="15">
        <v>18</v>
      </c>
      <c r="E19" s="15" t="str">
        <f>B19</f>
        <v>TIME 18</v>
      </c>
      <c r="F19" s="15">
        <f>COUNTIFS($F$24:$F$403,VLOOKUP($E19,$B$2:$C$21,2,0),$J$24:$J$403,"&gt;0")+COUNTIFS($G$24:$G$403,VLOOKUP($E19,$B$2:$C$21,2,0),$J$24:$J$403,"&lt;0")</f>
        <v>0</v>
      </c>
      <c r="G19" s="15">
        <f>COUNTIFS($F$24:$F$403,VLOOKUP($E19,$B$2:$C$21,2,0),$J$24:$J$403,"=0",$H$24:$H$403,"&gt;=0")+COUNTIFS($G$24:$G$403,VLOOKUP($E19,$B$2:$C$21,2,0),$J$24:$J$403,"=0",$I$24:$I$403,"&gt;=0")</f>
        <v>0</v>
      </c>
      <c r="H19" s="15">
        <f>COUNTIFS($F$24:$F$403,VLOOKUP($E19,$B$2:$C$21,2,0),$J$24:$J$403,"&lt;0")+COUNTIFS($G$24:$G$403,VLOOKUP($E19,$B$2:$C$21,2,0),$J$24:$J$403,"&gt;0")</f>
        <v>0</v>
      </c>
      <c r="I19" s="15">
        <f>SUMIFS($H$24:$H$403,$F$24:$F$403,VLOOKUP($E19,$B$2:$C$21,2,0))+SUMIFS($I$24:$I$403,$G$24:$G$403,VLOOKUP($E19,$B$2:$C$21,2,0))</f>
        <v>0</v>
      </c>
      <c r="J19" s="15">
        <f>SUMIFS($I$24:$I$403,$F$24:$F$403,VLOOKUP($E19,$B$2:$C$21,2,0))+SUMIFS($H$24:$H$403,$G$24:$G$403,VLOOKUP($E19,$B$2:$C$21,2,0))</f>
        <v>0</v>
      </c>
    </row>
    <row r="20" spans="1:10" x14ac:dyDescent="0.25">
      <c r="A20" s="15">
        <v>19</v>
      </c>
      <c r="B20" s="15" t="s">
        <v>26</v>
      </c>
      <c r="C20" s="15">
        <v>19</v>
      </c>
      <c r="E20" s="15" t="str">
        <f>B20</f>
        <v>TIME 1</v>
      </c>
      <c r="F20" s="15">
        <f>COUNTIFS($F$24:$F$403,VLOOKUP($E20,$B$2:$C$21,2,0),$J$24:$J$403,"&gt;0")+COUNTIFS($G$24:$G$403,VLOOKUP($E20,$B$2:$C$21,2,0),$J$24:$J$403,"&lt;0")</f>
        <v>0</v>
      </c>
      <c r="G20" s="15">
        <f>COUNTIFS($F$24:$F$403,VLOOKUP($E20,$B$2:$C$21,2,0),$J$24:$J$403,"=0",$H$24:$H$403,"&gt;=0")+COUNTIFS($G$24:$G$403,VLOOKUP($E20,$B$2:$C$21,2,0),$J$24:$J$403,"=0",$I$24:$I$403,"&gt;=0")</f>
        <v>0</v>
      </c>
      <c r="H20" s="15">
        <f>COUNTIFS($F$24:$F$403,VLOOKUP($E20,$B$2:$C$21,2,0),$J$24:$J$403,"&lt;0")+COUNTIFS($G$24:$G$403,VLOOKUP($E20,$B$2:$C$21,2,0),$J$24:$J$403,"&gt;0")</f>
        <v>0</v>
      </c>
      <c r="I20" s="15">
        <f>SUMIFS($H$24:$H$403,$F$24:$F$403,VLOOKUP($E20,$B$2:$C$21,2,0))+SUMIFS($I$24:$I$403,$G$24:$G$403,VLOOKUP($E20,$B$2:$C$21,2,0))</f>
        <v>0</v>
      </c>
      <c r="J20" s="15">
        <f>SUMIFS($I$24:$I$403,$F$24:$F$403,VLOOKUP($E20,$B$2:$C$21,2,0))+SUMIFS($H$24:$H$403,$G$24:$G$403,VLOOKUP($E20,$B$2:$C$21,2,0))</f>
        <v>0</v>
      </c>
    </row>
    <row r="21" spans="1:10" x14ac:dyDescent="0.25">
      <c r="A21" s="15">
        <v>20</v>
      </c>
      <c r="B21" s="15" t="s">
        <v>30</v>
      </c>
      <c r="C21" s="15">
        <v>20</v>
      </c>
      <c r="E21" s="15" t="str">
        <f>B21</f>
        <v>TIME 10</v>
      </c>
      <c r="F21" s="15">
        <f>COUNTIFS($F$24:$F$403,VLOOKUP($E21,$B$2:$C$21,2,0),$J$24:$J$403,"&gt;0")+COUNTIFS($G$24:$G$403,VLOOKUP($E21,$B$2:$C$21,2,0),$J$24:$J$403,"&lt;0")</f>
        <v>0</v>
      </c>
      <c r="G21" s="15">
        <f>COUNTIFS($F$24:$F$403,VLOOKUP($E21,$B$2:$C$21,2,0),$J$24:$J$403,"=0",$H$24:$H$403,"&gt;=0")+COUNTIFS($G$24:$G$403,VLOOKUP($E21,$B$2:$C$21,2,0),$J$24:$J$403,"=0",$I$24:$I$403,"&gt;=0")</f>
        <v>0</v>
      </c>
      <c r="H21" s="15">
        <f>COUNTIFS($F$24:$F$403,VLOOKUP($E21,$B$2:$C$21,2,0),$J$24:$J$403,"&lt;0")+COUNTIFS($G$24:$G$403,VLOOKUP($E21,$B$2:$C$21,2,0),$J$24:$J$403,"&gt;0")</f>
        <v>0</v>
      </c>
      <c r="I21" s="15">
        <f>SUMIFS($H$24:$H$403,$F$24:$F$403,VLOOKUP($E21,$B$2:$C$21,2,0))+SUMIFS($I$24:$I$403,$G$24:$G$403,VLOOKUP($E21,$B$2:$C$21,2,0))</f>
        <v>0</v>
      </c>
      <c r="J21" s="15">
        <f>SUMIFS($I$24:$I$403,$F$24:$F$403,VLOOKUP($E21,$B$2:$C$21,2,0))+SUMIFS($H$24:$H$403,$G$24:$G$403,VLOOKUP($E21,$B$2:$C$21,2,0))</f>
        <v>0</v>
      </c>
    </row>
    <row r="23" spans="1:10" x14ac:dyDescent="0.25">
      <c r="E23" s="14" t="s">
        <v>17</v>
      </c>
      <c r="F23" s="14" t="s">
        <v>18</v>
      </c>
      <c r="G23" s="14" t="s">
        <v>19</v>
      </c>
      <c r="H23" s="14" t="s">
        <v>20</v>
      </c>
      <c r="I23" s="14" t="s">
        <v>20</v>
      </c>
      <c r="J23" s="14" t="s">
        <v>21</v>
      </c>
    </row>
    <row r="24" spans="1:10" x14ac:dyDescent="0.25">
      <c r="E24" s="16">
        <v>1</v>
      </c>
      <c r="F24" s="16">
        <v>1</v>
      </c>
      <c r="G24" s="16">
        <v>20</v>
      </c>
      <c r="H24" s="16"/>
      <c r="I24" s="16"/>
      <c r="J24" s="16" t="str">
        <f>IF(AND(H24&lt;&gt;"",I24&lt;&gt;""),H24-I24,"")</f>
        <v/>
      </c>
    </row>
    <row r="25" spans="1:10" x14ac:dyDescent="0.25">
      <c r="E25" s="16">
        <v>1</v>
      </c>
      <c r="F25" s="16">
        <v>2</v>
      </c>
      <c r="G25" s="16">
        <v>19</v>
      </c>
      <c r="H25" s="16"/>
      <c r="I25" s="16"/>
      <c r="J25" s="16" t="str">
        <f>IF(AND(H25&lt;&gt;"",I25&lt;&gt;""),H25-I25,"")</f>
        <v/>
      </c>
    </row>
    <row r="26" spans="1:10" x14ac:dyDescent="0.25">
      <c r="E26" s="16">
        <v>1</v>
      </c>
      <c r="F26" s="16">
        <v>3</v>
      </c>
      <c r="G26" s="16">
        <v>18</v>
      </c>
      <c r="H26" s="16"/>
      <c r="I26" s="16"/>
      <c r="J26" s="16" t="str">
        <f>IF(AND(H26&lt;&gt;"",I26&lt;&gt;""),H26-I26,"")</f>
        <v/>
      </c>
    </row>
    <row r="27" spans="1:10" x14ac:dyDescent="0.25">
      <c r="E27" s="16">
        <v>1</v>
      </c>
      <c r="F27" s="16">
        <v>4</v>
      </c>
      <c r="G27" s="16">
        <v>17</v>
      </c>
      <c r="H27" s="16"/>
      <c r="I27" s="16"/>
      <c r="J27" s="16" t="str">
        <f>IF(AND(H27&lt;&gt;"",I27&lt;&gt;""),H27-I27,"")</f>
        <v/>
      </c>
    </row>
    <row r="28" spans="1:10" x14ac:dyDescent="0.25">
      <c r="E28" s="16">
        <v>1</v>
      </c>
      <c r="F28" s="16">
        <v>5</v>
      </c>
      <c r="G28" s="16">
        <v>16</v>
      </c>
      <c r="H28" s="16"/>
      <c r="I28" s="16"/>
      <c r="J28" s="16" t="str">
        <f>IF(AND(H28&lt;&gt;"",I28&lt;&gt;""),H28-I28,"")</f>
        <v/>
      </c>
    </row>
    <row r="29" spans="1:10" x14ac:dyDescent="0.25">
      <c r="E29" s="16">
        <v>1</v>
      </c>
      <c r="F29" s="16">
        <v>6</v>
      </c>
      <c r="G29" s="16">
        <v>15</v>
      </c>
      <c r="H29" s="16"/>
      <c r="I29" s="16"/>
      <c r="J29" s="16" t="str">
        <f>IF(AND(H29&lt;&gt;"",I29&lt;&gt;""),H29-I29,"")</f>
        <v/>
      </c>
    </row>
    <row r="30" spans="1:10" x14ac:dyDescent="0.25">
      <c r="E30" s="16">
        <v>1</v>
      </c>
      <c r="F30" s="16">
        <v>7</v>
      </c>
      <c r="G30" s="16">
        <v>14</v>
      </c>
      <c r="H30" s="16"/>
      <c r="I30" s="16"/>
      <c r="J30" s="16" t="str">
        <f>IF(AND(H30&lt;&gt;"",I30&lt;&gt;""),H30-I30,"")</f>
        <v/>
      </c>
    </row>
    <row r="31" spans="1:10" x14ac:dyDescent="0.25">
      <c r="E31" s="16">
        <v>1</v>
      </c>
      <c r="F31" s="16">
        <v>8</v>
      </c>
      <c r="G31" s="16">
        <v>13</v>
      </c>
      <c r="H31" s="16"/>
      <c r="I31" s="16"/>
      <c r="J31" s="16" t="str">
        <f>IF(AND(H31&lt;&gt;"",I31&lt;&gt;""),H31-I31,"")</f>
        <v/>
      </c>
    </row>
    <row r="32" spans="1:10" x14ac:dyDescent="0.25">
      <c r="E32" s="16">
        <v>1</v>
      </c>
      <c r="F32" s="16">
        <v>9</v>
      </c>
      <c r="G32" s="16">
        <v>12</v>
      </c>
      <c r="H32" s="16"/>
      <c r="I32" s="16"/>
      <c r="J32" s="16" t="str">
        <f>IF(AND(H32&lt;&gt;"",I32&lt;&gt;""),H32-I32,"")</f>
        <v/>
      </c>
    </row>
    <row r="33" spans="5:10" x14ac:dyDescent="0.25">
      <c r="E33" s="16">
        <v>1</v>
      </c>
      <c r="F33" s="16">
        <v>10</v>
      </c>
      <c r="G33" s="16">
        <v>11</v>
      </c>
      <c r="H33" s="16"/>
      <c r="I33" s="16"/>
      <c r="J33" s="16" t="str">
        <f>IF(AND(H33&lt;&gt;"",I33&lt;&gt;""),H33-I33,"")</f>
        <v/>
      </c>
    </row>
    <row r="34" spans="5:10" x14ac:dyDescent="0.25">
      <c r="E34" s="17">
        <v>2</v>
      </c>
      <c r="F34" s="17">
        <v>1</v>
      </c>
      <c r="G34" s="17">
        <v>19</v>
      </c>
      <c r="H34" s="17"/>
      <c r="I34" s="17"/>
      <c r="J34" s="17" t="str">
        <f>IF(AND(H34&lt;&gt;"",I34&lt;&gt;""),H34-I34,"")</f>
        <v/>
      </c>
    </row>
    <row r="35" spans="5:10" x14ac:dyDescent="0.25">
      <c r="E35" s="17">
        <v>2</v>
      </c>
      <c r="F35" s="17">
        <v>20</v>
      </c>
      <c r="G35" s="17">
        <v>18</v>
      </c>
      <c r="H35" s="17"/>
      <c r="I35" s="17"/>
      <c r="J35" s="17" t="str">
        <f>IF(AND(H35&lt;&gt;"",I35&lt;&gt;""),H35-I35,"")</f>
        <v/>
      </c>
    </row>
    <row r="36" spans="5:10" x14ac:dyDescent="0.25">
      <c r="E36" s="17">
        <v>2</v>
      </c>
      <c r="F36" s="17">
        <v>2</v>
      </c>
      <c r="G36" s="17">
        <v>17</v>
      </c>
      <c r="H36" s="17"/>
      <c r="I36" s="17"/>
      <c r="J36" s="17" t="str">
        <f>IF(AND(H36&lt;&gt;"",I36&lt;&gt;""),H36-I36,"")</f>
        <v/>
      </c>
    </row>
    <row r="37" spans="5:10" x14ac:dyDescent="0.25">
      <c r="E37" s="17">
        <v>2</v>
      </c>
      <c r="F37" s="17">
        <v>3</v>
      </c>
      <c r="G37" s="17">
        <v>16</v>
      </c>
      <c r="H37" s="17"/>
      <c r="I37" s="17"/>
      <c r="J37" s="17" t="str">
        <f>IF(AND(H37&lt;&gt;"",I37&lt;&gt;""),H37-I37,"")</f>
        <v/>
      </c>
    </row>
    <row r="38" spans="5:10" x14ac:dyDescent="0.25">
      <c r="E38" s="17">
        <v>2</v>
      </c>
      <c r="F38" s="17">
        <v>4</v>
      </c>
      <c r="G38" s="17">
        <v>15</v>
      </c>
      <c r="H38" s="17"/>
      <c r="I38" s="17"/>
      <c r="J38" s="17" t="str">
        <f>IF(AND(H38&lt;&gt;"",I38&lt;&gt;""),H38-I38,"")</f>
        <v/>
      </c>
    </row>
    <row r="39" spans="5:10" x14ac:dyDescent="0.25">
      <c r="E39" s="17">
        <v>2</v>
      </c>
      <c r="F39" s="17">
        <v>5</v>
      </c>
      <c r="G39" s="17">
        <v>14</v>
      </c>
      <c r="H39" s="17"/>
      <c r="I39" s="17"/>
      <c r="J39" s="17" t="str">
        <f>IF(AND(H39&lt;&gt;"",I39&lt;&gt;""),H39-I39,"")</f>
        <v/>
      </c>
    </row>
    <row r="40" spans="5:10" x14ac:dyDescent="0.25">
      <c r="E40" s="17">
        <v>2</v>
      </c>
      <c r="F40" s="17">
        <v>6</v>
      </c>
      <c r="G40" s="17">
        <v>13</v>
      </c>
      <c r="H40" s="17"/>
      <c r="I40" s="17"/>
      <c r="J40" s="17" t="str">
        <f>IF(AND(H40&lt;&gt;"",I40&lt;&gt;""),H40-I40,"")</f>
        <v/>
      </c>
    </row>
    <row r="41" spans="5:10" x14ac:dyDescent="0.25">
      <c r="E41" s="17">
        <v>2</v>
      </c>
      <c r="F41" s="17">
        <v>7</v>
      </c>
      <c r="G41" s="17">
        <v>12</v>
      </c>
      <c r="H41" s="17"/>
      <c r="I41" s="17"/>
      <c r="J41" s="17" t="str">
        <f>IF(AND(H41&lt;&gt;"",I41&lt;&gt;""),H41-I41,"")</f>
        <v/>
      </c>
    </row>
    <row r="42" spans="5:10" x14ac:dyDescent="0.25">
      <c r="E42" s="17">
        <v>2</v>
      </c>
      <c r="F42" s="17">
        <v>8</v>
      </c>
      <c r="G42" s="17">
        <v>11</v>
      </c>
      <c r="H42" s="17"/>
      <c r="I42" s="17"/>
      <c r="J42" s="17" t="str">
        <f>IF(AND(H42&lt;&gt;"",I42&lt;&gt;""),H42-I42,"")</f>
        <v/>
      </c>
    </row>
    <row r="43" spans="5:10" x14ac:dyDescent="0.25">
      <c r="E43" s="17">
        <v>2</v>
      </c>
      <c r="F43" s="17">
        <v>9</v>
      </c>
      <c r="G43" s="17">
        <v>10</v>
      </c>
      <c r="H43" s="17"/>
      <c r="I43" s="17"/>
      <c r="J43" s="17" t="str">
        <f>IF(AND(H43&lt;&gt;"",I43&lt;&gt;""),H43-I43,"")</f>
        <v/>
      </c>
    </row>
    <row r="44" spans="5:10" x14ac:dyDescent="0.25">
      <c r="E44" s="16">
        <v>3</v>
      </c>
      <c r="F44" s="16">
        <v>1</v>
      </c>
      <c r="G44" s="16">
        <v>18</v>
      </c>
      <c r="H44" s="16"/>
      <c r="I44" s="16"/>
      <c r="J44" s="16" t="str">
        <f>IF(AND(H44&lt;&gt;"",I44&lt;&gt;""),H44-I44,"")</f>
        <v/>
      </c>
    </row>
    <row r="45" spans="5:10" x14ac:dyDescent="0.25">
      <c r="E45" s="16">
        <v>3</v>
      </c>
      <c r="F45" s="16">
        <v>19</v>
      </c>
      <c r="G45" s="16">
        <v>17</v>
      </c>
      <c r="H45" s="16"/>
      <c r="I45" s="16"/>
      <c r="J45" s="16" t="str">
        <f>IF(AND(H45&lt;&gt;"",I45&lt;&gt;""),H45-I45,"")</f>
        <v/>
      </c>
    </row>
    <row r="46" spans="5:10" x14ac:dyDescent="0.25">
      <c r="E46" s="16">
        <v>3</v>
      </c>
      <c r="F46" s="16">
        <v>20</v>
      </c>
      <c r="G46" s="16">
        <v>16</v>
      </c>
      <c r="H46" s="16"/>
      <c r="I46" s="16"/>
      <c r="J46" s="16" t="str">
        <f>IF(AND(H46&lt;&gt;"",I46&lt;&gt;""),H46-I46,"")</f>
        <v/>
      </c>
    </row>
    <row r="47" spans="5:10" x14ac:dyDescent="0.25">
      <c r="E47" s="16">
        <v>3</v>
      </c>
      <c r="F47" s="16">
        <v>2</v>
      </c>
      <c r="G47" s="16">
        <v>15</v>
      </c>
      <c r="H47" s="16"/>
      <c r="I47" s="16"/>
      <c r="J47" s="16" t="str">
        <f>IF(AND(H47&lt;&gt;"",I47&lt;&gt;""),H47-I47,"")</f>
        <v/>
      </c>
    </row>
    <row r="48" spans="5:10" x14ac:dyDescent="0.25">
      <c r="E48" s="16">
        <v>3</v>
      </c>
      <c r="F48" s="16">
        <v>3</v>
      </c>
      <c r="G48" s="16">
        <v>14</v>
      </c>
      <c r="H48" s="16"/>
      <c r="I48" s="16"/>
      <c r="J48" s="16" t="str">
        <f>IF(AND(H48&lt;&gt;"",I48&lt;&gt;""),H48-I48,"")</f>
        <v/>
      </c>
    </row>
    <row r="49" spans="5:10" x14ac:dyDescent="0.25">
      <c r="E49" s="16">
        <v>3</v>
      </c>
      <c r="F49" s="16">
        <v>4</v>
      </c>
      <c r="G49" s="16">
        <v>13</v>
      </c>
      <c r="H49" s="16"/>
      <c r="I49" s="16"/>
      <c r="J49" s="16" t="str">
        <f>IF(AND(H49&lt;&gt;"",I49&lt;&gt;""),H49-I49,"")</f>
        <v/>
      </c>
    </row>
    <row r="50" spans="5:10" x14ac:dyDescent="0.25">
      <c r="E50" s="16">
        <v>3</v>
      </c>
      <c r="F50" s="16">
        <v>5</v>
      </c>
      <c r="G50" s="16">
        <v>12</v>
      </c>
      <c r="H50" s="16"/>
      <c r="I50" s="16"/>
      <c r="J50" s="16" t="str">
        <f>IF(AND(H50&lt;&gt;"",I50&lt;&gt;""),H50-I50,"")</f>
        <v/>
      </c>
    </row>
    <row r="51" spans="5:10" x14ac:dyDescent="0.25">
      <c r="E51" s="16">
        <v>3</v>
      </c>
      <c r="F51" s="16">
        <v>6</v>
      </c>
      <c r="G51" s="16">
        <v>11</v>
      </c>
      <c r="H51" s="16"/>
      <c r="I51" s="16"/>
      <c r="J51" s="16" t="str">
        <f>IF(AND(H51&lt;&gt;"",I51&lt;&gt;""),H51-I51,"")</f>
        <v/>
      </c>
    </row>
    <row r="52" spans="5:10" x14ac:dyDescent="0.25">
      <c r="E52" s="16">
        <v>3</v>
      </c>
      <c r="F52" s="16">
        <v>7</v>
      </c>
      <c r="G52" s="16">
        <v>10</v>
      </c>
      <c r="H52" s="16"/>
      <c r="I52" s="16"/>
      <c r="J52" s="16" t="str">
        <f>IF(AND(H52&lt;&gt;"",I52&lt;&gt;""),H52-I52,"")</f>
        <v/>
      </c>
    </row>
    <row r="53" spans="5:10" x14ac:dyDescent="0.25">
      <c r="E53" s="16">
        <v>3</v>
      </c>
      <c r="F53" s="16">
        <v>8</v>
      </c>
      <c r="G53" s="16">
        <v>9</v>
      </c>
      <c r="H53" s="16"/>
      <c r="I53" s="16"/>
      <c r="J53" s="16" t="str">
        <f>IF(AND(H53&lt;&gt;"",I53&lt;&gt;""),H53-I53,"")</f>
        <v/>
      </c>
    </row>
    <row r="54" spans="5:10" x14ac:dyDescent="0.25">
      <c r="E54" s="17">
        <v>4</v>
      </c>
      <c r="F54" s="17">
        <v>1</v>
      </c>
      <c r="G54" s="17">
        <v>17</v>
      </c>
      <c r="H54" s="17"/>
      <c r="I54" s="17"/>
      <c r="J54" s="17" t="str">
        <f>IF(AND(H54&lt;&gt;"",I54&lt;&gt;""),H54-I54,"")</f>
        <v/>
      </c>
    </row>
    <row r="55" spans="5:10" x14ac:dyDescent="0.25">
      <c r="E55" s="17">
        <v>4</v>
      </c>
      <c r="F55" s="17">
        <v>18</v>
      </c>
      <c r="G55" s="17">
        <v>16</v>
      </c>
      <c r="H55" s="17"/>
      <c r="I55" s="17"/>
      <c r="J55" s="17" t="str">
        <f>IF(AND(H55&lt;&gt;"",I55&lt;&gt;""),H55-I55,"")</f>
        <v/>
      </c>
    </row>
    <row r="56" spans="5:10" x14ac:dyDescent="0.25">
      <c r="E56" s="17">
        <v>4</v>
      </c>
      <c r="F56" s="17">
        <v>19</v>
      </c>
      <c r="G56" s="17">
        <v>15</v>
      </c>
      <c r="H56" s="17"/>
      <c r="I56" s="17"/>
      <c r="J56" s="17" t="str">
        <f>IF(AND(H56&lt;&gt;"",I56&lt;&gt;""),H56-I56,"")</f>
        <v/>
      </c>
    </row>
    <row r="57" spans="5:10" x14ac:dyDescent="0.25">
      <c r="E57" s="17">
        <v>4</v>
      </c>
      <c r="F57" s="17">
        <v>20</v>
      </c>
      <c r="G57" s="17">
        <v>14</v>
      </c>
      <c r="H57" s="17"/>
      <c r="I57" s="17"/>
      <c r="J57" s="17" t="str">
        <f>IF(AND(H57&lt;&gt;"",I57&lt;&gt;""),H57-I57,"")</f>
        <v/>
      </c>
    </row>
    <row r="58" spans="5:10" x14ac:dyDescent="0.25">
      <c r="E58" s="17">
        <v>4</v>
      </c>
      <c r="F58" s="17">
        <v>2</v>
      </c>
      <c r="G58" s="17">
        <v>13</v>
      </c>
      <c r="H58" s="17"/>
      <c r="I58" s="17"/>
      <c r="J58" s="17" t="str">
        <f>IF(AND(H58&lt;&gt;"",I58&lt;&gt;""),H58-I58,"")</f>
        <v/>
      </c>
    </row>
    <row r="59" spans="5:10" x14ac:dyDescent="0.25">
      <c r="E59" s="17">
        <v>4</v>
      </c>
      <c r="F59" s="17">
        <v>3</v>
      </c>
      <c r="G59" s="17">
        <v>12</v>
      </c>
      <c r="H59" s="17"/>
      <c r="I59" s="17"/>
      <c r="J59" s="17" t="str">
        <f>IF(AND(H59&lt;&gt;"",I59&lt;&gt;""),H59-I59,"")</f>
        <v/>
      </c>
    </row>
    <row r="60" spans="5:10" x14ac:dyDescent="0.25">
      <c r="E60" s="17">
        <v>4</v>
      </c>
      <c r="F60" s="17">
        <v>4</v>
      </c>
      <c r="G60" s="17">
        <v>11</v>
      </c>
      <c r="H60" s="17"/>
      <c r="I60" s="17"/>
      <c r="J60" s="17" t="str">
        <f>IF(AND(H60&lt;&gt;"",I60&lt;&gt;""),H60-I60,"")</f>
        <v/>
      </c>
    </row>
    <row r="61" spans="5:10" x14ac:dyDescent="0.25">
      <c r="E61" s="17">
        <v>4</v>
      </c>
      <c r="F61" s="17">
        <v>5</v>
      </c>
      <c r="G61" s="17">
        <v>10</v>
      </c>
      <c r="H61" s="17"/>
      <c r="I61" s="17"/>
      <c r="J61" s="17" t="str">
        <f>IF(AND(H61&lt;&gt;"",I61&lt;&gt;""),H61-I61,"")</f>
        <v/>
      </c>
    </row>
    <row r="62" spans="5:10" x14ac:dyDescent="0.25">
      <c r="E62" s="17">
        <v>4</v>
      </c>
      <c r="F62" s="17">
        <v>6</v>
      </c>
      <c r="G62" s="17">
        <v>9</v>
      </c>
      <c r="H62" s="17"/>
      <c r="I62" s="17"/>
      <c r="J62" s="17" t="str">
        <f>IF(AND(H62&lt;&gt;"",I62&lt;&gt;""),H62-I62,"")</f>
        <v/>
      </c>
    </row>
    <row r="63" spans="5:10" x14ac:dyDescent="0.25">
      <c r="E63" s="17">
        <v>4</v>
      </c>
      <c r="F63" s="17">
        <v>7</v>
      </c>
      <c r="G63" s="17">
        <v>8</v>
      </c>
      <c r="H63" s="17"/>
      <c r="I63" s="17"/>
      <c r="J63" s="17" t="str">
        <f>IF(AND(H63&lt;&gt;"",I63&lt;&gt;""),H63-I63,"")</f>
        <v/>
      </c>
    </row>
    <row r="64" spans="5:10" x14ac:dyDescent="0.25">
      <c r="E64" s="16">
        <v>5</v>
      </c>
      <c r="F64" s="16">
        <v>1</v>
      </c>
      <c r="G64" s="16">
        <v>16</v>
      </c>
      <c r="H64" s="16"/>
      <c r="I64" s="16"/>
      <c r="J64" s="16" t="str">
        <f>IF(AND(H64&lt;&gt;"",I64&lt;&gt;""),H64-I64,"")</f>
        <v/>
      </c>
    </row>
    <row r="65" spans="5:10" x14ac:dyDescent="0.25">
      <c r="E65" s="16">
        <v>5</v>
      </c>
      <c r="F65" s="16">
        <v>17</v>
      </c>
      <c r="G65" s="16">
        <v>15</v>
      </c>
      <c r="H65" s="16"/>
      <c r="I65" s="16"/>
      <c r="J65" s="16" t="str">
        <f>IF(AND(H65&lt;&gt;"",I65&lt;&gt;""),H65-I65,"")</f>
        <v/>
      </c>
    </row>
    <row r="66" spans="5:10" x14ac:dyDescent="0.25">
      <c r="E66" s="16">
        <v>5</v>
      </c>
      <c r="F66" s="16">
        <v>18</v>
      </c>
      <c r="G66" s="16">
        <v>14</v>
      </c>
      <c r="H66" s="16"/>
      <c r="I66" s="16"/>
      <c r="J66" s="16" t="str">
        <f>IF(AND(H66&lt;&gt;"",I66&lt;&gt;""),H66-I66,"")</f>
        <v/>
      </c>
    </row>
    <row r="67" spans="5:10" x14ac:dyDescent="0.25">
      <c r="E67" s="16">
        <v>5</v>
      </c>
      <c r="F67" s="16">
        <v>19</v>
      </c>
      <c r="G67" s="16">
        <v>13</v>
      </c>
      <c r="H67" s="16"/>
      <c r="I67" s="16"/>
      <c r="J67" s="16" t="str">
        <f>IF(AND(H67&lt;&gt;"",I67&lt;&gt;""),H67-I67,"")</f>
        <v/>
      </c>
    </row>
    <row r="68" spans="5:10" x14ac:dyDescent="0.25">
      <c r="E68" s="16">
        <v>5</v>
      </c>
      <c r="F68" s="16">
        <v>20</v>
      </c>
      <c r="G68" s="16">
        <v>12</v>
      </c>
      <c r="H68" s="16"/>
      <c r="I68" s="16"/>
      <c r="J68" s="16" t="str">
        <f>IF(AND(H68&lt;&gt;"",I68&lt;&gt;""),H68-I68,"")</f>
        <v/>
      </c>
    </row>
    <row r="69" spans="5:10" x14ac:dyDescent="0.25">
      <c r="E69" s="16">
        <v>5</v>
      </c>
      <c r="F69" s="16">
        <v>2</v>
      </c>
      <c r="G69" s="16">
        <v>11</v>
      </c>
      <c r="H69" s="16"/>
      <c r="I69" s="16"/>
      <c r="J69" s="16" t="str">
        <f>IF(AND(H69&lt;&gt;"",I69&lt;&gt;""),H69-I69,"")</f>
        <v/>
      </c>
    </row>
    <row r="70" spans="5:10" x14ac:dyDescent="0.25">
      <c r="E70" s="16">
        <v>5</v>
      </c>
      <c r="F70" s="16">
        <v>3</v>
      </c>
      <c r="G70" s="16">
        <v>10</v>
      </c>
      <c r="H70" s="16"/>
      <c r="I70" s="16"/>
      <c r="J70" s="16" t="str">
        <f>IF(AND(H70&lt;&gt;"",I70&lt;&gt;""),H70-I70,"")</f>
        <v/>
      </c>
    </row>
    <row r="71" spans="5:10" x14ac:dyDescent="0.25">
      <c r="E71" s="16">
        <v>5</v>
      </c>
      <c r="F71" s="16">
        <v>4</v>
      </c>
      <c r="G71" s="16">
        <v>9</v>
      </c>
      <c r="H71" s="16"/>
      <c r="I71" s="16"/>
      <c r="J71" s="16" t="str">
        <f>IF(AND(H71&lt;&gt;"",I71&lt;&gt;""),H71-I71,"")</f>
        <v/>
      </c>
    </row>
    <row r="72" spans="5:10" x14ac:dyDescent="0.25">
      <c r="E72" s="16">
        <v>5</v>
      </c>
      <c r="F72" s="16">
        <v>5</v>
      </c>
      <c r="G72" s="16">
        <v>8</v>
      </c>
      <c r="H72" s="16"/>
      <c r="I72" s="16"/>
      <c r="J72" s="16" t="str">
        <f>IF(AND(H72&lt;&gt;"",I72&lt;&gt;""),H72-I72,"")</f>
        <v/>
      </c>
    </row>
    <row r="73" spans="5:10" x14ac:dyDescent="0.25">
      <c r="E73" s="16">
        <v>5</v>
      </c>
      <c r="F73" s="16">
        <v>6</v>
      </c>
      <c r="G73" s="16">
        <v>7</v>
      </c>
      <c r="H73" s="16"/>
      <c r="I73" s="16"/>
      <c r="J73" s="16" t="str">
        <f>IF(AND(H73&lt;&gt;"",I73&lt;&gt;""),H73-I73,"")</f>
        <v/>
      </c>
    </row>
    <row r="74" spans="5:10" x14ac:dyDescent="0.25">
      <c r="E74" s="17">
        <v>6</v>
      </c>
      <c r="F74" s="17">
        <v>1</v>
      </c>
      <c r="G74" s="17">
        <v>15</v>
      </c>
      <c r="H74" s="17"/>
      <c r="I74" s="17"/>
      <c r="J74" s="17" t="str">
        <f>IF(AND(H74&lt;&gt;"",I74&lt;&gt;""),H74-I74,"")</f>
        <v/>
      </c>
    </row>
    <row r="75" spans="5:10" x14ac:dyDescent="0.25">
      <c r="E75" s="17">
        <v>6</v>
      </c>
      <c r="F75" s="17">
        <v>16</v>
      </c>
      <c r="G75" s="17">
        <v>14</v>
      </c>
      <c r="H75" s="17"/>
      <c r="I75" s="17"/>
      <c r="J75" s="17" t="str">
        <f>IF(AND(H75&lt;&gt;"",I75&lt;&gt;""),H75-I75,"")</f>
        <v/>
      </c>
    </row>
    <row r="76" spans="5:10" x14ac:dyDescent="0.25">
      <c r="E76" s="17">
        <v>6</v>
      </c>
      <c r="F76" s="17">
        <v>17</v>
      </c>
      <c r="G76" s="17">
        <v>13</v>
      </c>
      <c r="H76" s="17"/>
      <c r="I76" s="17"/>
      <c r="J76" s="17" t="str">
        <f>IF(AND(H76&lt;&gt;"",I76&lt;&gt;""),H76-I76,"")</f>
        <v/>
      </c>
    </row>
    <row r="77" spans="5:10" x14ac:dyDescent="0.25">
      <c r="E77" s="17">
        <v>6</v>
      </c>
      <c r="F77" s="17">
        <v>18</v>
      </c>
      <c r="G77" s="17">
        <v>12</v>
      </c>
      <c r="H77" s="17"/>
      <c r="I77" s="17"/>
      <c r="J77" s="17" t="str">
        <f>IF(AND(H77&lt;&gt;"",I77&lt;&gt;""),H77-I77,"")</f>
        <v/>
      </c>
    </row>
    <row r="78" spans="5:10" x14ac:dyDescent="0.25">
      <c r="E78" s="17">
        <v>6</v>
      </c>
      <c r="F78" s="17">
        <v>19</v>
      </c>
      <c r="G78" s="17">
        <v>11</v>
      </c>
      <c r="H78" s="17"/>
      <c r="I78" s="17"/>
      <c r="J78" s="17" t="str">
        <f>IF(AND(H78&lt;&gt;"",I78&lt;&gt;""),H78-I78,"")</f>
        <v/>
      </c>
    </row>
    <row r="79" spans="5:10" x14ac:dyDescent="0.25">
      <c r="E79" s="17">
        <v>6</v>
      </c>
      <c r="F79" s="17">
        <v>20</v>
      </c>
      <c r="G79" s="17">
        <v>10</v>
      </c>
      <c r="H79" s="17"/>
      <c r="I79" s="17"/>
      <c r="J79" s="17" t="str">
        <f>IF(AND(H79&lt;&gt;"",I79&lt;&gt;""),H79-I79,"")</f>
        <v/>
      </c>
    </row>
    <row r="80" spans="5:10" x14ac:dyDescent="0.25">
      <c r="E80" s="17">
        <v>6</v>
      </c>
      <c r="F80" s="17">
        <v>2</v>
      </c>
      <c r="G80" s="17">
        <v>9</v>
      </c>
      <c r="H80" s="17"/>
      <c r="I80" s="17"/>
      <c r="J80" s="17" t="str">
        <f>IF(AND(H80&lt;&gt;"",I80&lt;&gt;""),H80-I80,"")</f>
        <v/>
      </c>
    </row>
    <row r="81" spans="5:10" x14ac:dyDescent="0.25">
      <c r="E81" s="17">
        <v>6</v>
      </c>
      <c r="F81" s="17">
        <v>3</v>
      </c>
      <c r="G81" s="17">
        <v>8</v>
      </c>
      <c r="H81" s="17"/>
      <c r="I81" s="17"/>
      <c r="J81" s="17" t="str">
        <f>IF(AND(H81&lt;&gt;"",I81&lt;&gt;""),H81-I81,"")</f>
        <v/>
      </c>
    </row>
    <row r="82" spans="5:10" x14ac:dyDescent="0.25">
      <c r="E82" s="17">
        <v>6</v>
      </c>
      <c r="F82" s="17">
        <v>4</v>
      </c>
      <c r="G82" s="17">
        <v>7</v>
      </c>
      <c r="H82" s="17"/>
      <c r="I82" s="17"/>
      <c r="J82" s="17" t="str">
        <f>IF(AND(H82&lt;&gt;"",I82&lt;&gt;""),H82-I82,"")</f>
        <v/>
      </c>
    </row>
    <row r="83" spans="5:10" x14ac:dyDescent="0.25">
      <c r="E83" s="17">
        <v>6</v>
      </c>
      <c r="F83" s="17">
        <v>5</v>
      </c>
      <c r="G83" s="17">
        <v>6</v>
      </c>
      <c r="H83" s="17"/>
      <c r="I83" s="17"/>
      <c r="J83" s="17" t="str">
        <f>IF(AND(H83&lt;&gt;"",I83&lt;&gt;""),H83-I83,"")</f>
        <v/>
      </c>
    </row>
    <row r="84" spans="5:10" x14ac:dyDescent="0.25">
      <c r="E84" s="16">
        <v>7</v>
      </c>
      <c r="F84" s="16">
        <v>1</v>
      </c>
      <c r="G84" s="16">
        <v>14</v>
      </c>
      <c r="H84" s="16"/>
      <c r="I84" s="16"/>
      <c r="J84" s="16" t="str">
        <f>IF(AND(H84&lt;&gt;"",I84&lt;&gt;""),H84-I84,"")</f>
        <v/>
      </c>
    </row>
    <row r="85" spans="5:10" x14ac:dyDescent="0.25">
      <c r="E85" s="16">
        <v>7</v>
      </c>
      <c r="F85" s="16">
        <v>15</v>
      </c>
      <c r="G85" s="16">
        <v>13</v>
      </c>
      <c r="H85" s="16"/>
      <c r="I85" s="16"/>
      <c r="J85" s="16" t="str">
        <f>IF(AND(H85&lt;&gt;"",I85&lt;&gt;""),H85-I85,"")</f>
        <v/>
      </c>
    </row>
    <row r="86" spans="5:10" x14ac:dyDescent="0.25">
      <c r="E86" s="16">
        <v>7</v>
      </c>
      <c r="F86" s="16">
        <v>16</v>
      </c>
      <c r="G86" s="16">
        <v>12</v>
      </c>
      <c r="H86" s="16"/>
      <c r="I86" s="16"/>
      <c r="J86" s="16" t="str">
        <f>IF(AND(H86&lt;&gt;"",I86&lt;&gt;""),H86-I86,"")</f>
        <v/>
      </c>
    </row>
    <row r="87" spans="5:10" x14ac:dyDescent="0.25">
      <c r="E87" s="16">
        <v>7</v>
      </c>
      <c r="F87" s="16">
        <v>17</v>
      </c>
      <c r="G87" s="16">
        <v>11</v>
      </c>
      <c r="H87" s="16"/>
      <c r="I87" s="16"/>
      <c r="J87" s="16" t="str">
        <f>IF(AND(H87&lt;&gt;"",I87&lt;&gt;""),H87-I87,"")</f>
        <v/>
      </c>
    </row>
    <row r="88" spans="5:10" x14ac:dyDescent="0.25">
      <c r="E88" s="16">
        <v>7</v>
      </c>
      <c r="F88" s="16">
        <v>18</v>
      </c>
      <c r="G88" s="16">
        <v>10</v>
      </c>
      <c r="H88" s="16"/>
      <c r="I88" s="16"/>
      <c r="J88" s="16" t="str">
        <f>IF(AND(H88&lt;&gt;"",I88&lt;&gt;""),H88-I88,"")</f>
        <v/>
      </c>
    </row>
    <row r="89" spans="5:10" x14ac:dyDescent="0.25">
      <c r="E89" s="16">
        <v>7</v>
      </c>
      <c r="F89" s="16">
        <v>19</v>
      </c>
      <c r="G89" s="16">
        <v>9</v>
      </c>
      <c r="H89" s="16"/>
      <c r="I89" s="16"/>
      <c r="J89" s="16" t="str">
        <f>IF(AND(H89&lt;&gt;"",I89&lt;&gt;""),H89-I89,"")</f>
        <v/>
      </c>
    </row>
    <row r="90" spans="5:10" x14ac:dyDescent="0.25">
      <c r="E90" s="16">
        <v>7</v>
      </c>
      <c r="F90" s="16">
        <v>20</v>
      </c>
      <c r="G90" s="16">
        <v>8</v>
      </c>
      <c r="H90" s="16"/>
      <c r="I90" s="16"/>
      <c r="J90" s="16" t="str">
        <f>IF(AND(H90&lt;&gt;"",I90&lt;&gt;""),H90-I90,"")</f>
        <v/>
      </c>
    </row>
    <row r="91" spans="5:10" x14ac:dyDescent="0.25">
      <c r="E91" s="16">
        <v>7</v>
      </c>
      <c r="F91" s="16">
        <v>2</v>
      </c>
      <c r="G91" s="16">
        <v>7</v>
      </c>
      <c r="H91" s="16"/>
      <c r="I91" s="16"/>
      <c r="J91" s="16" t="str">
        <f>IF(AND(H91&lt;&gt;"",I91&lt;&gt;""),H91-I91,"")</f>
        <v/>
      </c>
    </row>
    <row r="92" spans="5:10" x14ac:dyDescent="0.25">
      <c r="E92" s="16">
        <v>7</v>
      </c>
      <c r="F92" s="16">
        <v>3</v>
      </c>
      <c r="G92" s="16">
        <v>6</v>
      </c>
      <c r="H92" s="16"/>
      <c r="I92" s="16"/>
      <c r="J92" s="16" t="str">
        <f>IF(AND(H92&lt;&gt;"",I92&lt;&gt;""),H92-I92,"")</f>
        <v/>
      </c>
    </row>
    <row r="93" spans="5:10" x14ac:dyDescent="0.25">
      <c r="E93" s="16">
        <v>7</v>
      </c>
      <c r="F93" s="16">
        <v>4</v>
      </c>
      <c r="G93" s="16">
        <v>5</v>
      </c>
      <c r="H93" s="16"/>
      <c r="I93" s="16"/>
      <c r="J93" s="16" t="str">
        <f>IF(AND(H93&lt;&gt;"",I93&lt;&gt;""),H93-I93,"")</f>
        <v/>
      </c>
    </row>
    <row r="94" spans="5:10" x14ac:dyDescent="0.25">
      <c r="E94" s="17">
        <v>8</v>
      </c>
      <c r="F94" s="17">
        <v>1</v>
      </c>
      <c r="G94" s="17">
        <v>13</v>
      </c>
      <c r="H94" s="17"/>
      <c r="I94" s="17"/>
      <c r="J94" s="17" t="str">
        <f>IF(AND(H94&lt;&gt;"",I94&lt;&gt;""),H94-I94,"")</f>
        <v/>
      </c>
    </row>
    <row r="95" spans="5:10" x14ac:dyDescent="0.25">
      <c r="E95" s="17">
        <v>8</v>
      </c>
      <c r="F95" s="17">
        <v>14</v>
      </c>
      <c r="G95" s="17">
        <v>12</v>
      </c>
      <c r="H95" s="17"/>
      <c r="I95" s="17"/>
      <c r="J95" s="17" t="str">
        <f>IF(AND(H95&lt;&gt;"",I95&lt;&gt;""),H95-I95,"")</f>
        <v/>
      </c>
    </row>
    <row r="96" spans="5:10" x14ac:dyDescent="0.25">
      <c r="E96" s="17">
        <v>8</v>
      </c>
      <c r="F96" s="17">
        <v>15</v>
      </c>
      <c r="G96" s="17">
        <v>11</v>
      </c>
      <c r="H96" s="17"/>
      <c r="I96" s="17"/>
      <c r="J96" s="17" t="str">
        <f>IF(AND(H96&lt;&gt;"",I96&lt;&gt;""),H96-I96,"")</f>
        <v/>
      </c>
    </row>
    <row r="97" spans="5:10" x14ac:dyDescent="0.25">
      <c r="E97" s="17">
        <v>8</v>
      </c>
      <c r="F97" s="17">
        <v>16</v>
      </c>
      <c r="G97" s="17">
        <v>10</v>
      </c>
      <c r="H97" s="17"/>
      <c r="I97" s="17"/>
      <c r="J97" s="17" t="str">
        <f>IF(AND(H97&lt;&gt;"",I97&lt;&gt;""),H97-I97,"")</f>
        <v/>
      </c>
    </row>
    <row r="98" spans="5:10" x14ac:dyDescent="0.25">
      <c r="E98" s="17">
        <v>8</v>
      </c>
      <c r="F98" s="17">
        <v>17</v>
      </c>
      <c r="G98" s="17">
        <v>9</v>
      </c>
      <c r="H98" s="17"/>
      <c r="I98" s="17"/>
      <c r="J98" s="17" t="str">
        <f>IF(AND(H98&lt;&gt;"",I98&lt;&gt;""),H98-I98,"")</f>
        <v/>
      </c>
    </row>
    <row r="99" spans="5:10" x14ac:dyDescent="0.25">
      <c r="E99" s="17">
        <v>8</v>
      </c>
      <c r="F99" s="17">
        <v>18</v>
      </c>
      <c r="G99" s="17">
        <v>8</v>
      </c>
      <c r="H99" s="17"/>
      <c r="I99" s="17"/>
      <c r="J99" s="17" t="str">
        <f>IF(AND(H99&lt;&gt;"",I99&lt;&gt;""),H99-I99,"")</f>
        <v/>
      </c>
    </row>
    <row r="100" spans="5:10" x14ac:dyDescent="0.25">
      <c r="E100" s="17">
        <v>8</v>
      </c>
      <c r="F100" s="17">
        <v>19</v>
      </c>
      <c r="G100" s="17">
        <v>7</v>
      </c>
      <c r="H100" s="17"/>
      <c r="I100" s="17"/>
      <c r="J100" s="17" t="str">
        <f>IF(AND(H100&lt;&gt;"",I100&lt;&gt;""),H100-I100,"")</f>
        <v/>
      </c>
    </row>
    <row r="101" spans="5:10" x14ac:dyDescent="0.25">
      <c r="E101" s="17">
        <v>8</v>
      </c>
      <c r="F101" s="17">
        <v>20</v>
      </c>
      <c r="G101" s="17">
        <v>6</v>
      </c>
      <c r="H101" s="17"/>
      <c r="I101" s="17"/>
      <c r="J101" s="17" t="str">
        <f>IF(AND(H101&lt;&gt;"",I101&lt;&gt;""),H101-I101,"")</f>
        <v/>
      </c>
    </row>
    <row r="102" spans="5:10" x14ac:dyDescent="0.25">
      <c r="E102" s="17">
        <v>8</v>
      </c>
      <c r="F102" s="17">
        <v>2</v>
      </c>
      <c r="G102" s="17">
        <v>5</v>
      </c>
      <c r="H102" s="17"/>
      <c r="I102" s="17"/>
      <c r="J102" s="17" t="str">
        <f>IF(AND(H102&lt;&gt;"",I102&lt;&gt;""),H102-I102,"")</f>
        <v/>
      </c>
    </row>
    <row r="103" spans="5:10" x14ac:dyDescent="0.25">
      <c r="E103" s="17">
        <v>8</v>
      </c>
      <c r="F103" s="17">
        <v>3</v>
      </c>
      <c r="G103" s="17">
        <v>4</v>
      </c>
      <c r="H103" s="17"/>
      <c r="I103" s="17"/>
      <c r="J103" s="17" t="str">
        <f>IF(AND(H103&lt;&gt;"",I103&lt;&gt;""),H103-I103,"")</f>
        <v/>
      </c>
    </row>
    <row r="104" spans="5:10" x14ac:dyDescent="0.25">
      <c r="E104" s="16">
        <v>9</v>
      </c>
      <c r="F104" s="16">
        <v>1</v>
      </c>
      <c r="G104" s="16">
        <v>12</v>
      </c>
      <c r="H104" s="16"/>
      <c r="I104" s="16"/>
      <c r="J104" s="16" t="str">
        <f>IF(AND(H104&lt;&gt;"",I104&lt;&gt;""),H104-I104,"")</f>
        <v/>
      </c>
    </row>
    <row r="105" spans="5:10" x14ac:dyDescent="0.25">
      <c r="E105" s="16">
        <v>9</v>
      </c>
      <c r="F105" s="16">
        <v>13</v>
      </c>
      <c r="G105" s="16">
        <v>11</v>
      </c>
      <c r="H105" s="16"/>
      <c r="I105" s="16"/>
      <c r="J105" s="16" t="str">
        <f>IF(AND(H105&lt;&gt;"",I105&lt;&gt;""),H105-I105,"")</f>
        <v/>
      </c>
    </row>
    <row r="106" spans="5:10" x14ac:dyDescent="0.25">
      <c r="E106" s="16">
        <v>9</v>
      </c>
      <c r="F106" s="16">
        <v>14</v>
      </c>
      <c r="G106" s="16">
        <v>10</v>
      </c>
      <c r="H106" s="16"/>
      <c r="I106" s="16"/>
      <c r="J106" s="16" t="str">
        <f>IF(AND(H106&lt;&gt;"",I106&lt;&gt;""),H106-I106,"")</f>
        <v/>
      </c>
    </row>
    <row r="107" spans="5:10" x14ac:dyDescent="0.25">
      <c r="E107" s="16">
        <v>9</v>
      </c>
      <c r="F107" s="16">
        <v>15</v>
      </c>
      <c r="G107" s="16">
        <v>9</v>
      </c>
      <c r="H107" s="16"/>
      <c r="I107" s="16"/>
      <c r="J107" s="16" t="str">
        <f>IF(AND(H107&lt;&gt;"",I107&lt;&gt;""),H107-I107,"")</f>
        <v/>
      </c>
    </row>
    <row r="108" spans="5:10" x14ac:dyDescent="0.25">
      <c r="E108" s="16">
        <v>9</v>
      </c>
      <c r="F108" s="16">
        <v>16</v>
      </c>
      <c r="G108" s="16">
        <v>8</v>
      </c>
      <c r="H108" s="16"/>
      <c r="I108" s="16"/>
      <c r="J108" s="16" t="str">
        <f>IF(AND(H108&lt;&gt;"",I108&lt;&gt;""),H108-I108,"")</f>
        <v/>
      </c>
    </row>
    <row r="109" spans="5:10" x14ac:dyDescent="0.25">
      <c r="E109" s="16">
        <v>9</v>
      </c>
      <c r="F109" s="16">
        <v>17</v>
      </c>
      <c r="G109" s="16">
        <v>7</v>
      </c>
      <c r="H109" s="16"/>
      <c r="I109" s="16"/>
      <c r="J109" s="16" t="str">
        <f>IF(AND(H109&lt;&gt;"",I109&lt;&gt;""),H109-I109,"")</f>
        <v/>
      </c>
    </row>
    <row r="110" spans="5:10" x14ac:dyDescent="0.25">
      <c r="E110" s="16">
        <v>9</v>
      </c>
      <c r="F110" s="16">
        <v>18</v>
      </c>
      <c r="G110" s="16">
        <v>6</v>
      </c>
      <c r="H110" s="16"/>
      <c r="I110" s="16"/>
      <c r="J110" s="16" t="str">
        <f>IF(AND(H110&lt;&gt;"",I110&lt;&gt;""),H110-I110,"")</f>
        <v/>
      </c>
    </row>
    <row r="111" spans="5:10" x14ac:dyDescent="0.25">
      <c r="E111" s="16">
        <v>9</v>
      </c>
      <c r="F111" s="16">
        <v>19</v>
      </c>
      <c r="G111" s="16">
        <v>5</v>
      </c>
      <c r="H111" s="16"/>
      <c r="I111" s="16"/>
      <c r="J111" s="16" t="str">
        <f>IF(AND(H111&lt;&gt;"",I111&lt;&gt;""),H111-I111,"")</f>
        <v/>
      </c>
    </row>
    <row r="112" spans="5:10" x14ac:dyDescent="0.25">
      <c r="E112" s="16">
        <v>9</v>
      </c>
      <c r="F112" s="16">
        <v>20</v>
      </c>
      <c r="G112" s="16">
        <v>4</v>
      </c>
      <c r="H112" s="16"/>
      <c r="I112" s="16"/>
      <c r="J112" s="16" t="str">
        <f>IF(AND(H112&lt;&gt;"",I112&lt;&gt;""),H112-I112,"")</f>
        <v/>
      </c>
    </row>
    <row r="113" spans="5:10" x14ac:dyDescent="0.25">
      <c r="E113" s="16">
        <v>9</v>
      </c>
      <c r="F113" s="16">
        <v>2</v>
      </c>
      <c r="G113" s="16">
        <v>3</v>
      </c>
      <c r="H113" s="16"/>
      <c r="I113" s="16"/>
      <c r="J113" s="16" t="str">
        <f>IF(AND(H113&lt;&gt;"",I113&lt;&gt;""),H113-I113,"")</f>
        <v/>
      </c>
    </row>
    <row r="114" spans="5:10" x14ac:dyDescent="0.25">
      <c r="E114" s="17">
        <v>10</v>
      </c>
      <c r="F114" s="17">
        <v>1</v>
      </c>
      <c r="G114" s="17">
        <v>11</v>
      </c>
      <c r="H114" s="17"/>
      <c r="I114" s="17"/>
      <c r="J114" s="17" t="str">
        <f>IF(AND(H114&lt;&gt;"",I114&lt;&gt;""),H114-I114,"")</f>
        <v/>
      </c>
    </row>
    <row r="115" spans="5:10" x14ac:dyDescent="0.25">
      <c r="E115" s="17">
        <v>10</v>
      </c>
      <c r="F115" s="17">
        <v>12</v>
      </c>
      <c r="G115" s="17">
        <v>10</v>
      </c>
      <c r="H115" s="17"/>
      <c r="I115" s="17"/>
      <c r="J115" s="17" t="str">
        <f>IF(AND(H115&lt;&gt;"",I115&lt;&gt;""),H115-I115,"")</f>
        <v/>
      </c>
    </row>
    <row r="116" spans="5:10" x14ac:dyDescent="0.25">
      <c r="E116" s="17">
        <v>10</v>
      </c>
      <c r="F116" s="17">
        <v>13</v>
      </c>
      <c r="G116" s="17">
        <v>9</v>
      </c>
      <c r="H116" s="17"/>
      <c r="I116" s="17"/>
      <c r="J116" s="17" t="str">
        <f>IF(AND(H116&lt;&gt;"",I116&lt;&gt;""),H116-I116,"")</f>
        <v/>
      </c>
    </row>
    <row r="117" spans="5:10" x14ac:dyDescent="0.25">
      <c r="E117" s="17">
        <v>10</v>
      </c>
      <c r="F117" s="17">
        <v>14</v>
      </c>
      <c r="G117" s="17">
        <v>8</v>
      </c>
      <c r="H117" s="17"/>
      <c r="I117" s="17"/>
      <c r="J117" s="17" t="str">
        <f>IF(AND(H117&lt;&gt;"",I117&lt;&gt;""),H117-I117,"")</f>
        <v/>
      </c>
    </row>
    <row r="118" spans="5:10" x14ac:dyDescent="0.25">
      <c r="E118" s="17">
        <v>10</v>
      </c>
      <c r="F118" s="17">
        <v>15</v>
      </c>
      <c r="G118" s="17">
        <v>7</v>
      </c>
      <c r="H118" s="17"/>
      <c r="I118" s="17"/>
      <c r="J118" s="17" t="str">
        <f>IF(AND(H118&lt;&gt;"",I118&lt;&gt;""),H118-I118,"")</f>
        <v/>
      </c>
    </row>
    <row r="119" spans="5:10" x14ac:dyDescent="0.25">
      <c r="E119" s="17">
        <v>10</v>
      </c>
      <c r="F119" s="17">
        <v>16</v>
      </c>
      <c r="G119" s="17">
        <v>6</v>
      </c>
      <c r="H119" s="17"/>
      <c r="I119" s="17"/>
      <c r="J119" s="17" t="str">
        <f>IF(AND(H119&lt;&gt;"",I119&lt;&gt;""),H119-I119,"")</f>
        <v/>
      </c>
    </row>
    <row r="120" spans="5:10" x14ac:dyDescent="0.25">
      <c r="E120" s="17">
        <v>10</v>
      </c>
      <c r="F120" s="17">
        <v>17</v>
      </c>
      <c r="G120" s="17">
        <v>5</v>
      </c>
      <c r="H120" s="17"/>
      <c r="I120" s="17"/>
      <c r="J120" s="17" t="str">
        <f>IF(AND(H120&lt;&gt;"",I120&lt;&gt;""),H120-I120,"")</f>
        <v/>
      </c>
    </row>
    <row r="121" spans="5:10" x14ac:dyDescent="0.25">
      <c r="E121" s="17">
        <v>10</v>
      </c>
      <c r="F121" s="17">
        <v>18</v>
      </c>
      <c r="G121" s="17">
        <v>4</v>
      </c>
      <c r="H121" s="17"/>
      <c r="I121" s="17"/>
      <c r="J121" s="17" t="str">
        <f>IF(AND(H121&lt;&gt;"",I121&lt;&gt;""),H121-I121,"")</f>
        <v/>
      </c>
    </row>
    <row r="122" spans="5:10" x14ac:dyDescent="0.25">
      <c r="E122" s="17">
        <v>10</v>
      </c>
      <c r="F122" s="17">
        <v>19</v>
      </c>
      <c r="G122" s="17">
        <v>3</v>
      </c>
      <c r="H122" s="17"/>
      <c r="I122" s="17"/>
      <c r="J122" s="17" t="str">
        <f>IF(AND(H122&lt;&gt;"",I122&lt;&gt;""),H122-I122,"")</f>
        <v/>
      </c>
    </row>
    <row r="123" spans="5:10" x14ac:dyDescent="0.25">
      <c r="E123" s="17">
        <v>10</v>
      </c>
      <c r="F123" s="17">
        <v>20</v>
      </c>
      <c r="G123" s="17">
        <v>2</v>
      </c>
      <c r="H123" s="17"/>
      <c r="I123" s="17"/>
      <c r="J123" s="17" t="str">
        <f>IF(AND(H123&lt;&gt;"",I123&lt;&gt;""),H123-I123,"")</f>
        <v/>
      </c>
    </row>
    <row r="124" spans="5:10" x14ac:dyDescent="0.25">
      <c r="E124" s="16">
        <v>11</v>
      </c>
      <c r="F124" s="16">
        <v>1</v>
      </c>
      <c r="G124" s="16">
        <v>10</v>
      </c>
      <c r="H124" s="16"/>
      <c r="I124" s="16"/>
      <c r="J124" s="16" t="str">
        <f>IF(AND(H124&lt;&gt;"",I124&lt;&gt;""),H124-I124,"")</f>
        <v/>
      </c>
    </row>
    <row r="125" spans="5:10" x14ac:dyDescent="0.25">
      <c r="E125" s="16">
        <v>11</v>
      </c>
      <c r="F125" s="16">
        <v>11</v>
      </c>
      <c r="G125" s="16">
        <v>9</v>
      </c>
      <c r="H125" s="16"/>
      <c r="I125" s="16"/>
      <c r="J125" s="16" t="str">
        <f>IF(AND(H125&lt;&gt;"",I125&lt;&gt;""),H125-I125,"")</f>
        <v/>
      </c>
    </row>
    <row r="126" spans="5:10" x14ac:dyDescent="0.25">
      <c r="E126" s="16">
        <v>11</v>
      </c>
      <c r="F126" s="16">
        <v>12</v>
      </c>
      <c r="G126" s="16">
        <v>8</v>
      </c>
      <c r="H126" s="16"/>
      <c r="I126" s="16"/>
      <c r="J126" s="16" t="str">
        <f>IF(AND(H126&lt;&gt;"",I126&lt;&gt;""),H126-I126,"")</f>
        <v/>
      </c>
    </row>
    <row r="127" spans="5:10" x14ac:dyDescent="0.25">
      <c r="E127" s="16">
        <v>11</v>
      </c>
      <c r="F127" s="16">
        <v>13</v>
      </c>
      <c r="G127" s="16">
        <v>7</v>
      </c>
      <c r="H127" s="16"/>
      <c r="I127" s="16"/>
      <c r="J127" s="16" t="str">
        <f>IF(AND(H127&lt;&gt;"",I127&lt;&gt;""),H127-I127,"")</f>
        <v/>
      </c>
    </row>
    <row r="128" spans="5:10" x14ac:dyDescent="0.25">
      <c r="E128" s="16">
        <v>11</v>
      </c>
      <c r="F128" s="16">
        <v>14</v>
      </c>
      <c r="G128" s="16">
        <v>6</v>
      </c>
      <c r="H128" s="16"/>
      <c r="I128" s="16"/>
      <c r="J128" s="16" t="str">
        <f>IF(AND(H128&lt;&gt;"",I128&lt;&gt;""),H128-I128,"")</f>
        <v/>
      </c>
    </row>
    <row r="129" spans="5:10" x14ac:dyDescent="0.25">
      <c r="E129" s="16">
        <v>11</v>
      </c>
      <c r="F129" s="16">
        <v>15</v>
      </c>
      <c r="G129" s="16">
        <v>5</v>
      </c>
      <c r="H129" s="16"/>
      <c r="I129" s="16"/>
      <c r="J129" s="16" t="str">
        <f>IF(AND(H129&lt;&gt;"",I129&lt;&gt;""),H129-I129,"")</f>
        <v/>
      </c>
    </row>
    <row r="130" spans="5:10" x14ac:dyDescent="0.25">
      <c r="E130" s="16">
        <v>11</v>
      </c>
      <c r="F130" s="16">
        <v>16</v>
      </c>
      <c r="G130" s="16">
        <v>4</v>
      </c>
      <c r="H130" s="16"/>
      <c r="I130" s="16"/>
      <c r="J130" s="16" t="str">
        <f>IF(AND(H130&lt;&gt;"",I130&lt;&gt;""),H130-I130,"")</f>
        <v/>
      </c>
    </row>
    <row r="131" spans="5:10" x14ac:dyDescent="0.25">
      <c r="E131" s="16">
        <v>11</v>
      </c>
      <c r="F131" s="16">
        <v>17</v>
      </c>
      <c r="G131" s="16">
        <v>3</v>
      </c>
      <c r="H131" s="16"/>
      <c r="I131" s="16"/>
      <c r="J131" s="16" t="str">
        <f>IF(AND(H131&lt;&gt;"",I131&lt;&gt;""),H131-I131,"")</f>
        <v/>
      </c>
    </row>
    <row r="132" spans="5:10" x14ac:dyDescent="0.25">
      <c r="E132" s="16">
        <v>11</v>
      </c>
      <c r="F132" s="16">
        <v>18</v>
      </c>
      <c r="G132" s="16">
        <v>2</v>
      </c>
      <c r="H132" s="16"/>
      <c r="I132" s="16"/>
      <c r="J132" s="16" t="str">
        <f>IF(AND(H132&lt;&gt;"",I132&lt;&gt;""),H132-I132,"")</f>
        <v/>
      </c>
    </row>
    <row r="133" spans="5:10" x14ac:dyDescent="0.25">
      <c r="E133" s="16">
        <v>11</v>
      </c>
      <c r="F133" s="16">
        <v>19</v>
      </c>
      <c r="G133" s="16">
        <v>20</v>
      </c>
      <c r="H133" s="16"/>
      <c r="I133" s="16"/>
      <c r="J133" s="16" t="str">
        <f>IF(AND(H133&lt;&gt;"",I133&lt;&gt;""),H133-I133,"")</f>
        <v/>
      </c>
    </row>
    <row r="134" spans="5:10" x14ac:dyDescent="0.25">
      <c r="E134" s="17">
        <v>12</v>
      </c>
      <c r="F134" s="17">
        <v>1</v>
      </c>
      <c r="G134" s="17">
        <v>9</v>
      </c>
      <c r="H134" s="17"/>
      <c r="I134" s="17"/>
      <c r="J134" s="17" t="str">
        <f>IF(AND(H134&lt;&gt;"",I134&lt;&gt;""),H134-I134,"")</f>
        <v/>
      </c>
    </row>
    <row r="135" spans="5:10" x14ac:dyDescent="0.25">
      <c r="E135" s="17">
        <v>12</v>
      </c>
      <c r="F135" s="17">
        <v>10</v>
      </c>
      <c r="G135" s="17">
        <v>8</v>
      </c>
      <c r="H135" s="17"/>
      <c r="I135" s="17"/>
      <c r="J135" s="17" t="str">
        <f>IF(AND(H135&lt;&gt;"",I135&lt;&gt;""),H135-I135,"")</f>
        <v/>
      </c>
    </row>
    <row r="136" spans="5:10" x14ac:dyDescent="0.25">
      <c r="E136" s="17">
        <v>12</v>
      </c>
      <c r="F136" s="17">
        <v>11</v>
      </c>
      <c r="G136" s="17">
        <v>7</v>
      </c>
      <c r="H136" s="17"/>
      <c r="I136" s="17"/>
      <c r="J136" s="17" t="str">
        <f>IF(AND(H136&lt;&gt;"",I136&lt;&gt;""),H136-I136,"")</f>
        <v/>
      </c>
    </row>
    <row r="137" spans="5:10" x14ac:dyDescent="0.25">
      <c r="E137" s="17">
        <v>12</v>
      </c>
      <c r="F137" s="17">
        <v>12</v>
      </c>
      <c r="G137" s="17">
        <v>6</v>
      </c>
      <c r="H137" s="17"/>
      <c r="I137" s="17"/>
      <c r="J137" s="17" t="str">
        <f>IF(AND(H137&lt;&gt;"",I137&lt;&gt;""),H137-I137,"")</f>
        <v/>
      </c>
    </row>
    <row r="138" spans="5:10" x14ac:dyDescent="0.25">
      <c r="E138" s="17">
        <v>12</v>
      </c>
      <c r="F138" s="17">
        <v>13</v>
      </c>
      <c r="G138" s="17">
        <v>5</v>
      </c>
      <c r="H138" s="17"/>
      <c r="I138" s="17"/>
      <c r="J138" s="17" t="str">
        <f>IF(AND(H138&lt;&gt;"",I138&lt;&gt;""),H138-I138,"")</f>
        <v/>
      </c>
    </row>
    <row r="139" spans="5:10" x14ac:dyDescent="0.25">
      <c r="E139" s="17">
        <v>12</v>
      </c>
      <c r="F139" s="17">
        <v>14</v>
      </c>
      <c r="G139" s="17">
        <v>4</v>
      </c>
      <c r="H139" s="17"/>
      <c r="I139" s="17"/>
      <c r="J139" s="17" t="str">
        <f>IF(AND(H139&lt;&gt;"",I139&lt;&gt;""),H139-I139,"")</f>
        <v/>
      </c>
    </row>
    <row r="140" spans="5:10" x14ac:dyDescent="0.25">
      <c r="E140" s="17">
        <v>12</v>
      </c>
      <c r="F140" s="17">
        <v>15</v>
      </c>
      <c r="G140" s="17">
        <v>3</v>
      </c>
      <c r="H140" s="17"/>
      <c r="I140" s="17"/>
      <c r="J140" s="17" t="str">
        <f>IF(AND(H140&lt;&gt;"",I140&lt;&gt;""),H140-I140,"")</f>
        <v/>
      </c>
    </row>
    <row r="141" spans="5:10" x14ac:dyDescent="0.25">
      <c r="E141" s="17">
        <v>12</v>
      </c>
      <c r="F141" s="17">
        <v>16</v>
      </c>
      <c r="G141" s="17">
        <v>2</v>
      </c>
      <c r="H141" s="17"/>
      <c r="I141" s="17"/>
      <c r="J141" s="17" t="str">
        <f>IF(AND(H141&lt;&gt;"",I141&lt;&gt;""),H141-I141,"")</f>
        <v/>
      </c>
    </row>
    <row r="142" spans="5:10" x14ac:dyDescent="0.25">
      <c r="E142" s="17">
        <v>12</v>
      </c>
      <c r="F142" s="17">
        <v>17</v>
      </c>
      <c r="G142" s="17">
        <v>20</v>
      </c>
      <c r="H142" s="17"/>
      <c r="I142" s="17"/>
      <c r="J142" s="17" t="str">
        <f>IF(AND(H142&lt;&gt;"",I142&lt;&gt;""),H142-I142,"")</f>
        <v/>
      </c>
    </row>
    <row r="143" spans="5:10" x14ac:dyDescent="0.25">
      <c r="E143" s="17">
        <v>12</v>
      </c>
      <c r="F143" s="17">
        <v>18</v>
      </c>
      <c r="G143" s="17">
        <v>19</v>
      </c>
      <c r="H143" s="17"/>
      <c r="I143" s="17"/>
      <c r="J143" s="17" t="str">
        <f>IF(AND(H143&lt;&gt;"",I143&lt;&gt;""),H143-I143,"")</f>
        <v/>
      </c>
    </row>
    <row r="144" spans="5:10" x14ac:dyDescent="0.25">
      <c r="E144" s="16">
        <v>13</v>
      </c>
      <c r="F144" s="16">
        <v>1</v>
      </c>
      <c r="G144" s="16">
        <v>8</v>
      </c>
      <c r="H144" s="16"/>
      <c r="I144" s="16"/>
      <c r="J144" s="16" t="str">
        <f>IF(AND(H144&lt;&gt;"",I144&lt;&gt;""),H144-I144,"")</f>
        <v/>
      </c>
    </row>
    <row r="145" spans="5:10" x14ac:dyDescent="0.25">
      <c r="E145" s="16">
        <v>13</v>
      </c>
      <c r="F145" s="16">
        <v>9</v>
      </c>
      <c r="G145" s="16">
        <v>7</v>
      </c>
      <c r="H145" s="16"/>
      <c r="I145" s="16"/>
      <c r="J145" s="16" t="str">
        <f>IF(AND(H145&lt;&gt;"",I145&lt;&gt;""),H145-I145,"")</f>
        <v/>
      </c>
    </row>
    <row r="146" spans="5:10" x14ac:dyDescent="0.25">
      <c r="E146" s="16">
        <v>13</v>
      </c>
      <c r="F146" s="16">
        <v>10</v>
      </c>
      <c r="G146" s="16">
        <v>6</v>
      </c>
      <c r="H146" s="16"/>
      <c r="I146" s="16"/>
      <c r="J146" s="16" t="str">
        <f>IF(AND(H146&lt;&gt;"",I146&lt;&gt;""),H146-I146,"")</f>
        <v/>
      </c>
    </row>
    <row r="147" spans="5:10" x14ac:dyDescent="0.25">
      <c r="E147" s="16">
        <v>13</v>
      </c>
      <c r="F147" s="16">
        <v>11</v>
      </c>
      <c r="G147" s="16">
        <v>5</v>
      </c>
      <c r="H147" s="16"/>
      <c r="I147" s="16"/>
      <c r="J147" s="16" t="str">
        <f>IF(AND(H147&lt;&gt;"",I147&lt;&gt;""),H147-I147,"")</f>
        <v/>
      </c>
    </row>
    <row r="148" spans="5:10" x14ac:dyDescent="0.25">
      <c r="E148" s="16">
        <v>13</v>
      </c>
      <c r="F148" s="16">
        <v>12</v>
      </c>
      <c r="G148" s="16">
        <v>4</v>
      </c>
      <c r="H148" s="16"/>
      <c r="I148" s="16"/>
      <c r="J148" s="16" t="str">
        <f>IF(AND(H148&lt;&gt;"",I148&lt;&gt;""),H148-I148,"")</f>
        <v/>
      </c>
    </row>
    <row r="149" spans="5:10" x14ac:dyDescent="0.25">
      <c r="E149" s="16">
        <v>13</v>
      </c>
      <c r="F149" s="16">
        <v>13</v>
      </c>
      <c r="G149" s="16">
        <v>3</v>
      </c>
      <c r="H149" s="16"/>
      <c r="I149" s="16"/>
      <c r="J149" s="16" t="str">
        <f>IF(AND(H149&lt;&gt;"",I149&lt;&gt;""),H149-I149,"")</f>
        <v/>
      </c>
    </row>
    <row r="150" spans="5:10" x14ac:dyDescent="0.25">
      <c r="E150" s="16">
        <v>13</v>
      </c>
      <c r="F150" s="16">
        <v>14</v>
      </c>
      <c r="G150" s="16">
        <v>2</v>
      </c>
      <c r="H150" s="16"/>
      <c r="I150" s="16"/>
      <c r="J150" s="16" t="str">
        <f>IF(AND(H150&lt;&gt;"",I150&lt;&gt;""),H150-I150,"")</f>
        <v/>
      </c>
    </row>
    <row r="151" spans="5:10" x14ac:dyDescent="0.25">
      <c r="E151" s="16">
        <v>13</v>
      </c>
      <c r="F151" s="16">
        <v>15</v>
      </c>
      <c r="G151" s="16">
        <v>20</v>
      </c>
      <c r="H151" s="16"/>
      <c r="I151" s="16"/>
      <c r="J151" s="16" t="str">
        <f>IF(AND(H151&lt;&gt;"",I151&lt;&gt;""),H151-I151,"")</f>
        <v/>
      </c>
    </row>
    <row r="152" spans="5:10" x14ac:dyDescent="0.25">
      <c r="E152" s="16">
        <v>13</v>
      </c>
      <c r="F152" s="16">
        <v>16</v>
      </c>
      <c r="G152" s="16">
        <v>19</v>
      </c>
      <c r="H152" s="16"/>
      <c r="I152" s="16"/>
      <c r="J152" s="16" t="str">
        <f>IF(AND(H152&lt;&gt;"",I152&lt;&gt;""),H152-I152,"")</f>
        <v/>
      </c>
    </row>
    <row r="153" spans="5:10" x14ac:dyDescent="0.25">
      <c r="E153" s="16">
        <v>13</v>
      </c>
      <c r="F153" s="16">
        <v>17</v>
      </c>
      <c r="G153" s="16">
        <v>18</v>
      </c>
      <c r="H153" s="16"/>
      <c r="I153" s="16"/>
      <c r="J153" s="16" t="str">
        <f>IF(AND(H153&lt;&gt;"",I153&lt;&gt;""),H153-I153,"")</f>
        <v/>
      </c>
    </row>
    <row r="154" spans="5:10" x14ac:dyDescent="0.25">
      <c r="E154" s="17">
        <v>14</v>
      </c>
      <c r="F154" s="17">
        <v>1</v>
      </c>
      <c r="G154" s="17">
        <v>7</v>
      </c>
      <c r="H154" s="17"/>
      <c r="I154" s="17"/>
      <c r="J154" s="17" t="str">
        <f>IF(AND(H154&lt;&gt;"",I154&lt;&gt;""),H154-I154,"")</f>
        <v/>
      </c>
    </row>
    <row r="155" spans="5:10" x14ac:dyDescent="0.25">
      <c r="E155" s="17">
        <v>14</v>
      </c>
      <c r="F155" s="17">
        <v>8</v>
      </c>
      <c r="G155" s="17">
        <v>6</v>
      </c>
      <c r="H155" s="17"/>
      <c r="I155" s="17"/>
      <c r="J155" s="17" t="str">
        <f>IF(AND(H155&lt;&gt;"",I155&lt;&gt;""),H155-I155,"")</f>
        <v/>
      </c>
    </row>
    <row r="156" spans="5:10" x14ac:dyDescent="0.25">
      <c r="E156" s="17">
        <v>14</v>
      </c>
      <c r="F156" s="17">
        <v>9</v>
      </c>
      <c r="G156" s="17">
        <v>5</v>
      </c>
      <c r="H156" s="17"/>
      <c r="I156" s="17"/>
      <c r="J156" s="17" t="str">
        <f>IF(AND(H156&lt;&gt;"",I156&lt;&gt;""),H156-I156,"")</f>
        <v/>
      </c>
    </row>
    <row r="157" spans="5:10" x14ac:dyDescent="0.25">
      <c r="E157" s="17">
        <v>14</v>
      </c>
      <c r="F157" s="17">
        <v>10</v>
      </c>
      <c r="G157" s="17">
        <v>4</v>
      </c>
      <c r="H157" s="17"/>
      <c r="I157" s="17"/>
      <c r="J157" s="17" t="str">
        <f>IF(AND(H157&lt;&gt;"",I157&lt;&gt;""),H157-I157,"")</f>
        <v/>
      </c>
    </row>
    <row r="158" spans="5:10" x14ac:dyDescent="0.25">
      <c r="E158" s="17">
        <v>14</v>
      </c>
      <c r="F158" s="17">
        <v>11</v>
      </c>
      <c r="G158" s="17">
        <v>3</v>
      </c>
      <c r="H158" s="17"/>
      <c r="I158" s="17"/>
      <c r="J158" s="17" t="str">
        <f>IF(AND(H158&lt;&gt;"",I158&lt;&gt;""),H158-I158,"")</f>
        <v/>
      </c>
    </row>
    <row r="159" spans="5:10" x14ac:dyDescent="0.25">
      <c r="E159" s="17">
        <v>14</v>
      </c>
      <c r="F159" s="17">
        <v>12</v>
      </c>
      <c r="G159" s="17">
        <v>2</v>
      </c>
      <c r="H159" s="17"/>
      <c r="I159" s="17"/>
      <c r="J159" s="17" t="str">
        <f>IF(AND(H159&lt;&gt;"",I159&lt;&gt;""),H159-I159,"")</f>
        <v/>
      </c>
    </row>
    <row r="160" spans="5:10" x14ac:dyDescent="0.25">
      <c r="E160" s="17">
        <v>14</v>
      </c>
      <c r="F160" s="17">
        <v>13</v>
      </c>
      <c r="G160" s="17">
        <v>20</v>
      </c>
      <c r="H160" s="17"/>
      <c r="I160" s="17"/>
      <c r="J160" s="17" t="str">
        <f>IF(AND(H160&lt;&gt;"",I160&lt;&gt;""),H160-I160,"")</f>
        <v/>
      </c>
    </row>
    <row r="161" spans="5:10" x14ac:dyDescent="0.25">
      <c r="E161" s="17">
        <v>14</v>
      </c>
      <c r="F161" s="17">
        <v>14</v>
      </c>
      <c r="G161" s="17">
        <v>19</v>
      </c>
      <c r="H161" s="17"/>
      <c r="I161" s="17"/>
      <c r="J161" s="17" t="str">
        <f>IF(AND(H161&lt;&gt;"",I161&lt;&gt;""),H161-I161,"")</f>
        <v/>
      </c>
    </row>
    <row r="162" spans="5:10" x14ac:dyDescent="0.25">
      <c r="E162" s="17">
        <v>14</v>
      </c>
      <c r="F162" s="17">
        <v>15</v>
      </c>
      <c r="G162" s="17">
        <v>18</v>
      </c>
      <c r="H162" s="17"/>
      <c r="I162" s="17"/>
      <c r="J162" s="17" t="str">
        <f>IF(AND(H162&lt;&gt;"",I162&lt;&gt;""),H162-I162,"")</f>
        <v/>
      </c>
    </row>
    <row r="163" spans="5:10" x14ac:dyDescent="0.25">
      <c r="E163" s="17">
        <v>14</v>
      </c>
      <c r="F163" s="17">
        <v>16</v>
      </c>
      <c r="G163" s="17">
        <v>17</v>
      </c>
      <c r="H163" s="17"/>
      <c r="I163" s="17"/>
      <c r="J163" s="17" t="str">
        <f>IF(AND(H163&lt;&gt;"",I163&lt;&gt;""),H163-I163,"")</f>
        <v/>
      </c>
    </row>
    <row r="164" spans="5:10" x14ac:dyDescent="0.25">
      <c r="E164" s="16">
        <v>15</v>
      </c>
      <c r="F164" s="16">
        <v>1</v>
      </c>
      <c r="G164" s="16">
        <v>6</v>
      </c>
      <c r="H164" s="16"/>
      <c r="I164" s="16"/>
      <c r="J164" s="16" t="str">
        <f>IF(AND(H164&lt;&gt;"",I164&lt;&gt;""),H164-I164,"")</f>
        <v/>
      </c>
    </row>
    <row r="165" spans="5:10" x14ac:dyDescent="0.25">
      <c r="E165" s="16">
        <v>15</v>
      </c>
      <c r="F165" s="16">
        <v>7</v>
      </c>
      <c r="G165" s="16">
        <v>5</v>
      </c>
      <c r="H165" s="16"/>
      <c r="I165" s="16"/>
      <c r="J165" s="16" t="str">
        <f>IF(AND(H165&lt;&gt;"",I165&lt;&gt;""),H165-I165,"")</f>
        <v/>
      </c>
    </row>
    <row r="166" spans="5:10" x14ac:dyDescent="0.25">
      <c r="E166" s="16">
        <v>15</v>
      </c>
      <c r="F166" s="16">
        <v>8</v>
      </c>
      <c r="G166" s="16">
        <v>4</v>
      </c>
      <c r="H166" s="16"/>
      <c r="I166" s="16"/>
      <c r="J166" s="16" t="str">
        <f>IF(AND(H166&lt;&gt;"",I166&lt;&gt;""),H166-I166,"")</f>
        <v/>
      </c>
    </row>
    <row r="167" spans="5:10" x14ac:dyDescent="0.25">
      <c r="E167" s="16">
        <v>15</v>
      </c>
      <c r="F167" s="16">
        <v>9</v>
      </c>
      <c r="G167" s="16">
        <v>3</v>
      </c>
      <c r="H167" s="16"/>
      <c r="I167" s="16"/>
      <c r="J167" s="16" t="str">
        <f>IF(AND(H167&lt;&gt;"",I167&lt;&gt;""),H167-I167,"")</f>
        <v/>
      </c>
    </row>
    <row r="168" spans="5:10" x14ac:dyDescent="0.25">
      <c r="E168" s="16">
        <v>15</v>
      </c>
      <c r="F168" s="16">
        <v>10</v>
      </c>
      <c r="G168" s="16">
        <v>2</v>
      </c>
      <c r="H168" s="16"/>
      <c r="I168" s="16"/>
      <c r="J168" s="16" t="str">
        <f>IF(AND(H168&lt;&gt;"",I168&lt;&gt;""),H168-I168,"")</f>
        <v/>
      </c>
    </row>
    <row r="169" spans="5:10" x14ac:dyDescent="0.25">
      <c r="E169" s="16">
        <v>15</v>
      </c>
      <c r="F169" s="16">
        <v>11</v>
      </c>
      <c r="G169" s="16">
        <v>20</v>
      </c>
      <c r="H169" s="16"/>
      <c r="I169" s="16"/>
      <c r="J169" s="16" t="str">
        <f>IF(AND(H169&lt;&gt;"",I169&lt;&gt;""),H169-I169,"")</f>
        <v/>
      </c>
    </row>
    <row r="170" spans="5:10" x14ac:dyDescent="0.25">
      <c r="E170" s="16">
        <v>15</v>
      </c>
      <c r="F170" s="16">
        <v>12</v>
      </c>
      <c r="G170" s="16">
        <v>19</v>
      </c>
      <c r="H170" s="16"/>
      <c r="I170" s="16"/>
      <c r="J170" s="16" t="str">
        <f>IF(AND(H170&lt;&gt;"",I170&lt;&gt;""),H170-I170,"")</f>
        <v/>
      </c>
    </row>
    <row r="171" spans="5:10" x14ac:dyDescent="0.25">
      <c r="E171" s="16">
        <v>15</v>
      </c>
      <c r="F171" s="16">
        <v>13</v>
      </c>
      <c r="G171" s="16">
        <v>18</v>
      </c>
      <c r="H171" s="16"/>
      <c r="I171" s="16"/>
      <c r="J171" s="16" t="str">
        <f>IF(AND(H171&lt;&gt;"",I171&lt;&gt;""),H171-I171,"")</f>
        <v/>
      </c>
    </row>
    <row r="172" spans="5:10" x14ac:dyDescent="0.25">
      <c r="E172" s="16">
        <v>15</v>
      </c>
      <c r="F172" s="16">
        <v>14</v>
      </c>
      <c r="G172" s="16">
        <v>17</v>
      </c>
      <c r="H172" s="16"/>
      <c r="I172" s="16"/>
      <c r="J172" s="16" t="str">
        <f>IF(AND(H172&lt;&gt;"",I172&lt;&gt;""),H172-I172,"")</f>
        <v/>
      </c>
    </row>
    <row r="173" spans="5:10" x14ac:dyDescent="0.25">
      <c r="E173" s="16">
        <v>15</v>
      </c>
      <c r="F173" s="16">
        <v>15</v>
      </c>
      <c r="G173" s="16">
        <v>16</v>
      </c>
      <c r="H173" s="16"/>
      <c r="I173" s="16"/>
      <c r="J173" s="16" t="str">
        <f>IF(AND(H173&lt;&gt;"",I173&lt;&gt;""),H173-I173,"")</f>
        <v/>
      </c>
    </row>
    <row r="174" spans="5:10" x14ac:dyDescent="0.25">
      <c r="E174" s="17">
        <v>16</v>
      </c>
      <c r="F174" s="17">
        <v>1</v>
      </c>
      <c r="G174" s="17">
        <v>5</v>
      </c>
      <c r="H174" s="17"/>
      <c r="I174" s="17"/>
      <c r="J174" s="17" t="str">
        <f>IF(AND(H174&lt;&gt;"",I174&lt;&gt;""),H174-I174,"")</f>
        <v/>
      </c>
    </row>
    <row r="175" spans="5:10" x14ac:dyDescent="0.25">
      <c r="E175" s="17">
        <v>16</v>
      </c>
      <c r="F175" s="17">
        <v>6</v>
      </c>
      <c r="G175" s="17">
        <v>4</v>
      </c>
      <c r="H175" s="17"/>
      <c r="I175" s="17"/>
      <c r="J175" s="17" t="str">
        <f>IF(AND(H175&lt;&gt;"",I175&lt;&gt;""),H175-I175,"")</f>
        <v/>
      </c>
    </row>
    <row r="176" spans="5:10" x14ac:dyDescent="0.25">
      <c r="E176" s="17">
        <v>16</v>
      </c>
      <c r="F176" s="17">
        <v>7</v>
      </c>
      <c r="G176" s="17">
        <v>3</v>
      </c>
      <c r="H176" s="17"/>
      <c r="I176" s="17"/>
      <c r="J176" s="17" t="str">
        <f>IF(AND(H176&lt;&gt;"",I176&lt;&gt;""),H176-I176,"")</f>
        <v/>
      </c>
    </row>
    <row r="177" spans="5:10" x14ac:dyDescent="0.25">
      <c r="E177" s="17">
        <v>16</v>
      </c>
      <c r="F177" s="17">
        <v>8</v>
      </c>
      <c r="G177" s="17">
        <v>2</v>
      </c>
      <c r="H177" s="17"/>
      <c r="I177" s="17"/>
      <c r="J177" s="17" t="str">
        <f>IF(AND(H177&lt;&gt;"",I177&lt;&gt;""),H177-I177,"")</f>
        <v/>
      </c>
    </row>
    <row r="178" spans="5:10" x14ac:dyDescent="0.25">
      <c r="E178" s="17">
        <v>16</v>
      </c>
      <c r="F178" s="17">
        <v>9</v>
      </c>
      <c r="G178" s="17">
        <v>20</v>
      </c>
      <c r="H178" s="17"/>
      <c r="I178" s="17"/>
      <c r="J178" s="17" t="str">
        <f>IF(AND(H178&lt;&gt;"",I178&lt;&gt;""),H178-I178,"")</f>
        <v/>
      </c>
    </row>
    <row r="179" spans="5:10" x14ac:dyDescent="0.25">
      <c r="E179" s="17">
        <v>16</v>
      </c>
      <c r="F179" s="17">
        <v>10</v>
      </c>
      <c r="G179" s="17">
        <v>19</v>
      </c>
      <c r="H179" s="17"/>
      <c r="I179" s="17"/>
      <c r="J179" s="17" t="str">
        <f>IF(AND(H179&lt;&gt;"",I179&lt;&gt;""),H179-I179,"")</f>
        <v/>
      </c>
    </row>
    <row r="180" spans="5:10" x14ac:dyDescent="0.25">
      <c r="E180" s="17">
        <v>16</v>
      </c>
      <c r="F180" s="17">
        <v>11</v>
      </c>
      <c r="G180" s="17">
        <v>18</v>
      </c>
      <c r="H180" s="17"/>
      <c r="I180" s="17"/>
      <c r="J180" s="17" t="str">
        <f>IF(AND(H180&lt;&gt;"",I180&lt;&gt;""),H180-I180,"")</f>
        <v/>
      </c>
    </row>
    <row r="181" spans="5:10" x14ac:dyDescent="0.25">
      <c r="E181" s="17">
        <v>16</v>
      </c>
      <c r="F181" s="17">
        <v>12</v>
      </c>
      <c r="G181" s="17">
        <v>17</v>
      </c>
      <c r="H181" s="17"/>
      <c r="I181" s="17"/>
      <c r="J181" s="17" t="str">
        <f>IF(AND(H181&lt;&gt;"",I181&lt;&gt;""),H181-I181,"")</f>
        <v/>
      </c>
    </row>
    <row r="182" spans="5:10" x14ac:dyDescent="0.25">
      <c r="E182" s="17">
        <v>16</v>
      </c>
      <c r="F182" s="17">
        <v>13</v>
      </c>
      <c r="G182" s="17">
        <v>16</v>
      </c>
      <c r="H182" s="17"/>
      <c r="I182" s="17"/>
      <c r="J182" s="17" t="str">
        <f>IF(AND(H182&lt;&gt;"",I182&lt;&gt;""),H182-I182,"")</f>
        <v/>
      </c>
    </row>
    <row r="183" spans="5:10" x14ac:dyDescent="0.25">
      <c r="E183" s="17">
        <v>16</v>
      </c>
      <c r="F183" s="17">
        <v>14</v>
      </c>
      <c r="G183" s="17">
        <v>15</v>
      </c>
      <c r="H183" s="17"/>
      <c r="I183" s="17"/>
      <c r="J183" s="17" t="str">
        <f>IF(AND(H183&lt;&gt;"",I183&lt;&gt;""),H183-I183,"")</f>
        <v/>
      </c>
    </row>
    <row r="184" spans="5:10" x14ac:dyDescent="0.25">
      <c r="E184" s="16">
        <v>17</v>
      </c>
      <c r="F184" s="16">
        <v>1</v>
      </c>
      <c r="G184" s="16">
        <v>4</v>
      </c>
      <c r="H184" s="16"/>
      <c r="I184" s="16"/>
      <c r="J184" s="16" t="str">
        <f>IF(AND(H184&lt;&gt;"",I184&lt;&gt;""),H184-I184,"")</f>
        <v/>
      </c>
    </row>
    <row r="185" spans="5:10" x14ac:dyDescent="0.25">
      <c r="E185" s="16">
        <v>17</v>
      </c>
      <c r="F185" s="16">
        <v>5</v>
      </c>
      <c r="G185" s="16">
        <v>3</v>
      </c>
      <c r="H185" s="16"/>
      <c r="I185" s="16"/>
      <c r="J185" s="16" t="str">
        <f>IF(AND(H185&lt;&gt;"",I185&lt;&gt;""),H185-I185,"")</f>
        <v/>
      </c>
    </row>
    <row r="186" spans="5:10" x14ac:dyDescent="0.25">
      <c r="E186" s="16">
        <v>17</v>
      </c>
      <c r="F186" s="16">
        <v>6</v>
      </c>
      <c r="G186" s="16">
        <v>2</v>
      </c>
      <c r="H186" s="16"/>
      <c r="I186" s="16"/>
      <c r="J186" s="16" t="str">
        <f>IF(AND(H186&lt;&gt;"",I186&lt;&gt;""),H186-I186,"")</f>
        <v/>
      </c>
    </row>
    <row r="187" spans="5:10" x14ac:dyDescent="0.25">
      <c r="E187" s="16">
        <v>17</v>
      </c>
      <c r="F187" s="16">
        <v>7</v>
      </c>
      <c r="G187" s="16">
        <v>20</v>
      </c>
      <c r="H187" s="16"/>
      <c r="I187" s="16"/>
      <c r="J187" s="16" t="str">
        <f>IF(AND(H187&lt;&gt;"",I187&lt;&gt;""),H187-I187,"")</f>
        <v/>
      </c>
    </row>
    <row r="188" spans="5:10" x14ac:dyDescent="0.25">
      <c r="E188" s="16">
        <v>17</v>
      </c>
      <c r="F188" s="16">
        <v>8</v>
      </c>
      <c r="G188" s="16">
        <v>19</v>
      </c>
      <c r="H188" s="16"/>
      <c r="I188" s="16"/>
      <c r="J188" s="16" t="str">
        <f>IF(AND(H188&lt;&gt;"",I188&lt;&gt;""),H188-I188,"")</f>
        <v/>
      </c>
    </row>
    <row r="189" spans="5:10" x14ac:dyDescent="0.25">
      <c r="E189" s="16">
        <v>17</v>
      </c>
      <c r="F189" s="16">
        <v>9</v>
      </c>
      <c r="G189" s="16">
        <v>18</v>
      </c>
      <c r="H189" s="16"/>
      <c r="I189" s="16"/>
      <c r="J189" s="16" t="str">
        <f>IF(AND(H189&lt;&gt;"",I189&lt;&gt;""),H189-I189,"")</f>
        <v/>
      </c>
    </row>
    <row r="190" spans="5:10" x14ac:dyDescent="0.25">
      <c r="E190" s="16">
        <v>17</v>
      </c>
      <c r="F190" s="16">
        <v>10</v>
      </c>
      <c r="G190" s="16">
        <v>17</v>
      </c>
      <c r="H190" s="16"/>
      <c r="I190" s="16"/>
      <c r="J190" s="16" t="str">
        <f>IF(AND(H190&lt;&gt;"",I190&lt;&gt;""),H190-I190,"")</f>
        <v/>
      </c>
    </row>
    <row r="191" spans="5:10" x14ac:dyDescent="0.25">
      <c r="E191" s="16">
        <v>17</v>
      </c>
      <c r="F191" s="16">
        <v>11</v>
      </c>
      <c r="G191" s="16">
        <v>16</v>
      </c>
      <c r="H191" s="16"/>
      <c r="I191" s="16"/>
      <c r="J191" s="16" t="str">
        <f>IF(AND(H191&lt;&gt;"",I191&lt;&gt;""),H191-I191,"")</f>
        <v/>
      </c>
    </row>
    <row r="192" spans="5:10" x14ac:dyDescent="0.25">
      <c r="E192" s="16">
        <v>17</v>
      </c>
      <c r="F192" s="16">
        <v>12</v>
      </c>
      <c r="G192" s="16">
        <v>15</v>
      </c>
      <c r="H192" s="16"/>
      <c r="I192" s="16"/>
      <c r="J192" s="16" t="str">
        <f>IF(AND(H192&lt;&gt;"",I192&lt;&gt;""),H192-I192,"")</f>
        <v/>
      </c>
    </row>
    <row r="193" spans="5:10" x14ac:dyDescent="0.25">
      <c r="E193" s="16">
        <v>17</v>
      </c>
      <c r="F193" s="16">
        <v>13</v>
      </c>
      <c r="G193" s="16">
        <v>14</v>
      </c>
      <c r="H193" s="16"/>
      <c r="I193" s="16"/>
      <c r="J193" s="16" t="str">
        <f>IF(AND(H193&lt;&gt;"",I193&lt;&gt;""),H193-I193,"")</f>
        <v/>
      </c>
    </row>
    <row r="194" spans="5:10" x14ac:dyDescent="0.25">
      <c r="E194" s="17">
        <v>18</v>
      </c>
      <c r="F194" s="17">
        <v>1</v>
      </c>
      <c r="G194" s="17">
        <v>3</v>
      </c>
      <c r="H194" s="17"/>
      <c r="I194" s="17"/>
      <c r="J194" s="17" t="str">
        <f>IF(AND(H194&lt;&gt;"",I194&lt;&gt;""),H194-I194,"")</f>
        <v/>
      </c>
    </row>
    <row r="195" spans="5:10" x14ac:dyDescent="0.25">
      <c r="E195" s="17">
        <v>18</v>
      </c>
      <c r="F195" s="17">
        <v>4</v>
      </c>
      <c r="G195" s="17">
        <v>2</v>
      </c>
      <c r="H195" s="17"/>
      <c r="I195" s="17"/>
      <c r="J195" s="17" t="str">
        <f>IF(AND(H195&lt;&gt;"",I195&lt;&gt;""),H195-I195,"")</f>
        <v/>
      </c>
    </row>
    <row r="196" spans="5:10" x14ac:dyDescent="0.25">
      <c r="E196" s="17">
        <v>18</v>
      </c>
      <c r="F196" s="17">
        <v>5</v>
      </c>
      <c r="G196" s="17">
        <v>20</v>
      </c>
      <c r="H196" s="17"/>
      <c r="I196" s="17"/>
      <c r="J196" s="17" t="str">
        <f>IF(AND(H196&lt;&gt;"",I196&lt;&gt;""),H196-I196,"")</f>
        <v/>
      </c>
    </row>
    <row r="197" spans="5:10" x14ac:dyDescent="0.25">
      <c r="E197" s="17">
        <v>18</v>
      </c>
      <c r="F197" s="17">
        <v>6</v>
      </c>
      <c r="G197" s="17">
        <v>19</v>
      </c>
      <c r="H197" s="17"/>
      <c r="I197" s="17"/>
      <c r="J197" s="17" t="str">
        <f>IF(AND(H197&lt;&gt;"",I197&lt;&gt;""),H197-I197,"")</f>
        <v/>
      </c>
    </row>
    <row r="198" spans="5:10" x14ac:dyDescent="0.25">
      <c r="E198" s="17">
        <v>18</v>
      </c>
      <c r="F198" s="17">
        <v>7</v>
      </c>
      <c r="G198" s="17">
        <v>18</v>
      </c>
      <c r="H198" s="17"/>
      <c r="I198" s="17"/>
      <c r="J198" s="17" t="str">
        <f>IF(AND(H198&lt;&gt;"",I198&lt;&gt;""),H198-I198,"")</f>
        <v/>
      </c>
    </row>
    <row r="199" spans="5:10" x14ac:dyDescent="0.25">
      <c r="E199" s="17">
        <v>18</v>
      </c>
      <c r="F199" s="17">
        <v>8</v>
      </c>
      <c r="G199" s="17">
        <v>17</v>
      </c>
      <c r="H199" s="17"/>
      <c r="I199" s="17"/>
      <c r="J199" s="17" t="str">
        <f>IF(AND(H199&lt;&gt;"",I199&lt;&gt;""),H199-I199,"")</f>
        <v/>
      </c>
    </row>
    <row r="200" spans="5:10" x14ac:dyDescent="0.25">
      <c r="E200" s="17">
        <v>18</v>
      </c>
      <c r="F200" s="17">
        <v>9</v>
      </c>
      <c r="G200" s="17">
        <v>16</v>
      </c>
      <c r="H200" s="17"/>
      <c r="I200" s="17"/>
      <c r="J200" s="17" t="str">
        <f>IF(AND(H200&lt;&gt;"",I200&lt;&gt;""),H200-I200,"")</f>
        <v/>
      </c>
    </row>
    <row r="201" spans="5:10" x14ac:dyDescent="0.25">
      <c r="E201" s="17">
        <v>18</v>
      </c>
      <c r="F201" s="17">
        <v>10</v>
      </c>
      <c r="G201" s="17">
        <v>15</v>
      </c>
      <c r="H201" s="17"/>
      <c r="I201" s="17"/>
      <c r="J201" s="17" t="str">
        <f>IF(AND(H201&lt;&gt;"",I201&lt;&gt;""),H201-I201,"")</f>
        <v/>
      </c>
    </row>
    <row r="202" spans="5:10" x14ac:dyDescent="0.25">
      <c r="E202" s="17">
        <v>18</v>
      </c>
      <c r="F202" s="17">
        <v>11</v>
      </c>
      <c r="G202" s="17">
        <v>14</v>
      </c>
      <c r="H202" s="17"/>
      <c r="I202" s="17"/>
      <c r="J202" s="17" t="str">
        <f>IF(AND(H202&lt;&gt;"",I202&lt;&gt;""),H202-I202,"")</f>
        <v/>
      </c>
    </row>
    <row r="203" spans="5:10" x14ac:dyDescent="0.25">
      <c r="E203" s="17">
        <v>18</v>
      </c>
      <c r="F203" s="17">
        <v>12</v>
      </c>
      <c r="G203" s="17">
        <v>13</v>
      </c>
      <c r="H203" s="17"/>
      <c r="I203" s="17"/>
      <c r="J203" s="17" t="str">
        <f>IF(AND(H203&lt;&gt;"",I203&lt;&gt;""),H203-I203,"")</f>
        <v/>
      </c>
    </row>
    <row r="204" spans="5:10" x14ac:dyDescent="0.25">
      <c r="E204" s="16">
        <v>19</v>
      </c>
      <c r="F204" s="16">
        <v>1</v>
      </c>
      <c r="G204" s="16">
        <v>2</v>
      </c>
      <c r="H204" s="16"/>
      <c r="I204" s="16"/>
      <c r="J204" s="16" t="str">
        <f>IF(AND(H204&lt;&gt;"",I204&lt;&gt;""),H204-I204,"")</f>
        <v/>
      </c>
    </row>
    <row r="205" spans="5:10" x14ac:dyDescent="0.25">
      <c r="E205" s="16">
        <v>19</v>
      </c>
      <c r="F205" s="16">
        <v>3</v>
      </c>
      <c r="G205" s="16">
        <v>20</v>
      </c>
      <c r="H205" s="16"/>
      <c r="I205" s="16"/>
      <c r="J205" s="16" t="str">
        <f>IF(AND(H205&lt;&gt;"",I205&lt;&gt;""),H205-I205,"")</f>
        <v/>
      </c>
    </row>
    <row r="206" spans="5:10" x14ac:dyDescent="0.25">
      <c r="E206" s="16">
        <v>19</v>
      </c>
      <c r="F206" s="16">
        <v>4</v>
      </c>
      <c r="G206" s="16">
        <v>19</v>
      </c>
      <c r="H206" s="16"/>
      <c r="I206" s="16"/>
      <c r="J206" s="16" t="str">
        <f>IF(AND(H206&lt;&gt;"",I206&lt;&gt;""),H206-I206,"")</f>
        <v/>
      </c>
    </row>
    <row r="207" spans="5:10" x14ac:dyDescent="0.25">
      <c r="E207" s="16">
        <v>19</v>
      </c>
      <c r="F207" s="16">
        <v>5</v>
      </c>
      <c r="G207" s="16">
        <v>18</v>
      </c>
      <c r="H207" s="16"/>
      <c r="I207" s="16"/>
      <c r="J207" s="16" t="str">
        <f>IF(AND(H207&lt;&gt;"",I207&lt;&gt;""),H207-I207,"")</f>
        <v/>
      </c>
    </row>
    <row r="208" spans="5:10" x14ac:dyDescent="0.25">
      <c r="E208" s="16">
        <v>19</v>
      </c>
      <c r="F208" s="16">
        <v>6</v>
      </c>
      <c r="G208" s="16">
        <v>17</v>
      </c>
      <c r="H208" s="16"/>
      <c r="I208" s="16"/>
      <c r="J208" s="16" t="str">
        <f>IF(AND(H208&lt;&gt;"",I208&lt;&gt;""),H208-I208,"")</f>
        <v/>
      </c>
    </row>
    <row r="209" spans="5:10" x14ac:dyDescent="0.25">
      <c r="E209" s="16">
        <v>19</v>
      </c>
      <c r="F209" s="16">
        <v>7</v>
      </c>
      <c r="G209" s="16">
        <v>16</v>
      </c>
      <c r="H209" s="16"/>
      <c r="I209" s="16"/>
      <c r="J209" s="16" t="str">
        <f>IF(AND(H209&lt;&gt;"",I209&lt;&gt;""),H209-I209,"")</f>
        <v/>
      </c>
    </row>
    <row r="210" spans="5:10" x14ac:dyDescent="0.25">
      <c r="E210" s="16">
        <v>19</v>
      </c>
      <c r="F210" s="16">
        <v>8</v>
      </c>
      <c r="G210" s="16">
        <v>15</v>
      </c>
      <c r="H210" s="16"/>
      <c r="I210" s="16"/>
      <c r="J210" s="16" t="str">
        <f>IF(AND(H210&lt;&gt;"",I210&lt;&gt;""),H210-I210,"")</f>
        <v/>
      </c>
    </row>
    <row r="211" spans="5:10" x14ac:dyDescent="0.25">
      <c r="E211" s="16">
        <v>19</v>
      </c>
      <c r="F211" s="16">
        <v>9</v>
      </c>
      <c r="G211" s="16">
        <v>14</v>
      </c>
      <c r="H211" s="16"/>
      <c r="I211" s="16"/>
      <c r="J211" s="16" t="str">
        <f>IF(AND(H211&lt;&gt;"",I211&lt;&gt;""),H211-I211,"")</f>
        <v/>
      </c>
    </row>
    <row r="212" spans="5:10" x14ac:dyDescent="0.25">
      <c r="E212" s="16">
        <v>19</v>
      </c>
      <c r="F212" s="16">
        <v>10</v>
      </c>
      <c r="G212" s="16">
        <v>13</v>
      </c>
      <c r="H212" s="16"/>
      <c r="I212" s="16"/>
      <c r="J212" s="16" t="str">
        <f>IF(AND(H212&lt;&gt;"",I212&lt;&gt;""),H212-I212,"")</f>
        <v/>
      </c>
    </row>
    <row r="213" spans="5:10" x14ac:dyDescent="0.25">
      <c r="E213" s="16">
        <v>19</v>
      </c>
      <c r="F213" s="16">
        <v>11</v>
      </c>
      <c r="G213" s="16">
        <v>12</v>
      </c>
      <c r="H213" s="16"/>
      <c r="I213" s="16"/>
      <c r="J213" s="16" t="str">
        <f>IF(AND(H213&lt;&gt;"",I213&lt;&gt;""),H213-I213,"")</f>
        <v/>
      </c>
    </row>
    <row r="214" spans="5:10" x14ac:dyDescent="0.25">
      <c r="E214" s="17">
        <v>20</v>
      </c>
      <c r="F214" s="17">
        <v>20</v>
      </c>
      <c r="G214" s="17">
        <v>1</v>
      </c>
      <c r="H214" s="17"/>
      <c r="I214" s="17"/>
      <c r="J214" s="17" t="str">
        <f>IF(AND(H214&lt;&gt;"",I214&lt;&gt;""),H214-I214,"")</f>
        <v/>
      </c>
    </row>
    <row r="215" spans="5:10" x14ac:dyDescent="0.25">
      <c r="E215" s="17">
        <v>20</v>
      </c>
      <c r="F215" s="17">
        <v>19</v>
      </c>
      <c r="G215" s="17">
        <v>2</v>
      </c>
      <c r="H215" s="17"/>
      <c r="I215" s="17"/>
      <c r="J215" s="17" t="str">
        <f>IF(AND(H215&lt;&gt;"",I215&lt;&gt;""),H215-I215,"")</f>
        <v/>
      </c>
    </row>
    <row r="216" spans="5:10" x14ac:dyDescent="0.25">
      <c r="E216" s="17">
        <v>20</v>
      </c>
      <c r="F216" s="17">
        <v>18</v>
      </c>
      <c r="G216" s="17">
        <v>3</v>
      </c>
      <c r="H216" s="17"/>
      <c r="I216" s="17"/>
      <c r="J216" s="17" t="str">
        <f>IF(AND(H216&lt;&gt;"",I216&lt;&gt;""),H216-I216,"")</f>
        <v/>
      </c>
    </row>
    <row r="217" spans="5:10" x14ac:dyDescent="0.25">
      <c r="E217" s="17">
        <v>20</v>
      </c>
      <c r="F217" s="17">
        <v>17</v>
      </c>
      <c r="G217" s="17">
        <v>4</v>
      </c>
      <c r="H217" s="17"/>
      <c r="I217" s="17"/>
      <c r="J217" s="17" t="str">
        <f>IF(AND(H217&lt;&gt;"",I217&lt;&gt;""),H217-I217,"")</f>
        <v/>
      </c>
    </row>
    <row r="218" spans="5:10" x14ac:dyDescent="0.25">
      <c r="E218" s="17">
        <v>20</v>
      </c>
      <c r="F218" s="17">
        <v>16</v>
      </c>
      <c r="G218" s="17">
        <v>5</v>
      </c>
      <c r="H218" s="17"/>
      <c r="I218" s="17"/>
      <c r="J218" s="17" t="str">
        <f>IF(AND(H218&lt;&gt;"",I218&lt;&gt;""),H218-I218,"")</f>
        <v/>
      </c>
    </row>
    <row r="219" spans="5:10" x14ac:dyDescent="0.25">
      <c r="E219" s="17">
        <v>20</v>
      </c>
      <c r="F219" s="17">
        <v>15</v>
      </c>
      <c r="G219" s="17">
        <v>6</v>
      </c>
      <c r="H219" s="17"/>
      <c r="I219" s="17"/>
      <c r="J219" s="17" t="str">
        <f>IF(AND(H219&lt;&gt;"",I219&lt;&gt;""),H219-I219,"")</f>
        <v/>
      </c>
    </row>
    <row r="220" spans="5:10" x14ac:dyDescent="0.25">
      <c r="E220" s="17">
        <v>20</v>
      </c>
      <c r="F220" s="17">
        <v>14</v>
      </c>
      <c r="G220" s="17">
        <v>7</v>
      </c>
      <c r="H220" s="17"/>
      <c r="I220" s="17"/>
      <c r="J220" s="17" t="str">
        <f>IF(AND(H220&lt;&gt;"",I220&lt;&gt;""),H220-I220,"")</f>
        <v/>
      </c>
    </row>
    <row r="221" spans="5:10" x14ac:dyDescent="0.25">
      <c r="E221" s="17">
        <v>20</v>
      </c>
      <c r="F221" s="17">
        <v>13</v>
      </c>
      <c r="G221" s="17">
        <v>8</v>
      </c>
      <c r="H221" s="17"/>
      <c r="I221" s="17"/>
      <c r="J221" s="17" t="str">
        <f>IF(AND(H221&lt;&gt;"",I221&lt;&gt;""),H221-I221,"")</f>
        <v/>
      </c>
    </row>
    <row r="222" spans="5:10" x14ac:dyDescent="0.25">
      <c r="E222" s="17">
        <v>20</v>
      </c>
      <c r="F222" s="17">
        <v>12</v>
      </c>
      <c r="G222" s="17">
        <v>9</v>
      </c>
      <c r="H222" s="17"/>
      <c r="I222" s="17"/>
      <c r="J222" s="17" t="str">
        <f>IF(AND(H222&lt;&gt;"",I222&lt;&gt;""),H222-I222,"")</f>
        <v/>
      </c>
    </row>
    <row r="223" spans="5:10" x14ac:dyDescent="0.25">
      <c r="E223" s="17">
        <v>20</v>
      </c>
      <c r="F223" s="17">
        <v>11</v>
      </c>
      <c r="G223" s="17">
        <v>10</v>
      </c>
      <c r="H223" s="17"/>
      <c r="I223" s="17"/>
      <c r="J223" s="17" t="str">
        <f>IF(AND(H223&lt;&gt;"",I223&lt;&gt;""),H223-I223,"")</f>
        <v/>
      </c>
    </row>
    <row r="224" spans="5:10" x14ac:dyDescent="0.25">
      <c r="E224" s="16">
        <v>21</v>
      </c>
      <c r="F224" s="16">
        <v>19</v>
      </c>
      <c r="G224" s="16">
        <v>1</v>
      </c>
      <c r="H224" s="16"/>
      <c r="I224" s="16"/>
      <c r="J224" s="16" t="str">
        <f>IF(AND(H224&lt;&gt;"",I224&lt;&gt;""),H224-I224,"")</f>
        <v/>
      </c>
    </row>
    <row r="225" spans="5:10" x14ac:dyDescent="0.25">
      <c r="E225" s="16">
        <v>21</v>
      </c>
      <c r="F225" s="16">
        <v>18</v>
      </c>
      <c r="G225" s="16">
        <v>20</v>
      </c>
      <c r="H225" s="16"/>
      <c r="I225" s="16"/>
      <c r="J225" s="16" t="str">
        <f>IF(AND(H225&lt;&gt;"",I225&lt;&gt;""),H225-I225,"")</f>
        <v/>
      </c>
    </row>
    <row r="226" spans="5:10" x14ac:dyDescent="0.25">
      <c r="E226" s="16">
        <v>21</v>
      </c>
      <c r="F226" s="16">
        <v>17</v>
      </c>
      <c r="G226" s="16">
        <v>2</v>
      </c>
      <c r="H226" s="16"/>
      <c r="I226" s="16"/>
      <c r="J226" s="16" t="str">
        <f>IF(AND(H226&lt;&gt;"",I226&lt;&gt;""),H226-I226,"")</f>
        <v/>
      </c>
    </row>
    <row r="227" spans="5:10" x14ac:dyDescent="0.25">
      <c r="E227" s="16">
        <v>21</v>
      </c>
      <c r="F227" s="16">
        <v>16</v>
      </c>
      <c r="G227" s="16">
        <v>3</v>
      </c>
      <c r="H227" s="16"/>
      <c r="I227" s="16"/>
      <c r="J227" s="16" t="str">
        <f>IF(AND(H227&lt;&gt;"",I227&lt;&gt;""),H227-I227,"")</f>
        <v/>
      </c>
    </row>
    <row r="228" spans="5:10" x14ac:dyDescent="0.25">
      <c r="E228" s="16">
        <v>21</v>
      </c>
      <c r="F228" s="16">
        <v>15</v>
      </c>
      <c r="G228" s="16">
        <v>4</v>
      </c>
      <c r="H228" s="16"/>
      <c r="I228" s="16"/>
      <c r="J228" s="16" t="str">
        <f>IF(AND(H228&lt;&gt;"",I228&lt;&gt;""),H228-I228,"")</f>
        <v/>
      </c>
    </row>
    <row r="229" spans="5:10" x14ac:dyDescent="0.25">
      <c r="E229" s="16">
        <v>21</v>
      </c>
      <c r="F229" s="16">
        <v>14</v>
      </c>
      <c r="G229" s="16">
        <v>5</v>
      </c>
      <c r="H229" s="16"/>
      <c r="I229" s="16"/>
      <c r="J229" s="16" t="str">
        <f>IF(AND(H229&lt;&gt;"",I229&lt;&gt;""),H229-I229,"")</f>
        <v/>
      </c>
    </row>
    <row r="230" spans="5:10" x14ac:dyDescent="0.25">
      <c r="E230" s="16">
        <v>21</v>
      </c>
      <c r="F230" s="16">
        <v>13</v>
      </c>
      <c r="G230" s="16">
        <v>6</v>
      </c>
      <c r="H230" s="16"/>
      <c r="I230" s="16"/>
      <c r="J230" s="16" t="str">
        <f>IF(AND(H230&lt;&gt;"",I230&lt;&gt;""),H230-I230,"")</f>
        <v/>
      </c>
    </row>
    <row r="231" spans="5:10" x14ac:dyDescent="0.25">
      <c r="E231" s="16">
        <v>21</v>
      </c>
      <c r="F231" s="16">
        <v>12</v>
      </c>
      <c r="G231" s="16">
        <v>7</v>
      </c>
      <c r="H231" s="16"/>
      <c r="I231" s="16"/>
      <c r="J231" s="16" t="str">
        <f>IF(AND(H231&lt;&gt;"",I231&lt;&gt;""),H231-I231,"")</f>
        <v/>
      </c>
    </row>
    <row r="232" spans="5:10" x14ac:dyDescent="0.25">
      <c r="E232" s="16">
        <v>21</v>
      </c>
      <c r="F232" s="16">
        <v>11</v>
      </c>
      <c r="G232" s="16">
        <v>8</v>
      </c>
      <c r="H232" s="16"/>
      <c r="I232" s="16"/>
      <c r="J232" s="16" t="str">
        <f>IF(AND(H232&lt;&gt;"",I232&lt;&gt;""),H232-I232,"")</f>
        <v/>
      </c>
    </row>
    <row r="233" spans="5:10" x14ac:dyDescent="0.25">
      <c r="E233" s="16">
        <v>21</v>
      </c>
      <c r="F233" s="16">
        <v>10</v>
      </c>
      <c r="G233" s="16">
        <v>9</v>
      </c>
      <c r="H233" s="16"/>
      <c r="I233" s="16"/>
      <c r="J233" s="16" t="str">
        <f>IF(AND(H233&lt;&gt;"",I233&lt;&gt;""),H233-I233,"")</f>
        <v/>
      </c>
    </row>
    <row r="234" spans="5:10" x14ac:dyDescent="0.25">
      <c r="E234" s="17">
        <v>22</v>
      </c>
      <c r="F234" s="17">
        <v>18</v>
      </c>
      <c r="G234" s="17">
        <v>1</v>
      </c>
      <c r="H234" s="17"/>
      <c r="I234" s="17"/>
      <c r="J234" s="17" t="str">
        <f>IF(AND(H234&lt;&gt;"",I234&lt;&gt;""),H234-I234,"")</f>
        <v/>
      </c>
    </row>
    <row r="235" spans="5:10" x14ac:dyDescent="0.25">
      <c r="E235" s="17">
        <v>22</v>
      </c>
      <c r="F235" s="17">
        <v>17</v>
      </c>
      <c r="G235" s="17">
        <v>19</v>
      </c>
      <c r="H235" s="17"/>
      <c r="I235" s="17"/>
      <c r="J235" s="17" t="str">
        <f>IF(AND(H235&lt;&gt;"",I235&lt;&gt;""),H235-I235,"")</f>
        <v/>
      </c>
    </row>
    <row r="236" spans="5:10" x14ac:dyDescent="0.25">
      <c r="E236" s="17">
        <v>22</v>
      </c>
      <c r="F236" s="17">
        <v>16</v>
      </c>
      <c r="G236" s="17">
        <v>20</v>
      </c>
      <c r="H236" s="17"/>
      <c r="I236" s="17"/>
      <c r="J236" s="17" t="str">
        <f>IF(AND(H236&lt;&gt;"",I236&lt;&gt;""),H236-I236,"")</f>
        <v/>
      </c>
    </row>
    <row r="237" spans="5:10" x14ac:dyDescent="0.25">
      <c r="E237" s="17">
        <v>22</v>
      </c>
      <c r="F237" s="17">
        <v>15</v>
      </c>
      <c r="G237" s="17">
        <v>2</v>
      </c>
      <c r="H237" s="17"/>
      <c r="I237" s="17"/>
      <c r="J237" s="17" t="str">
        <f>IF(AND(H237&lt;&gt;"",I237&lt;&gt;""),H237-I237,"")</f>
        <v/>
      </c>
    </row>
    <row r="238" spans="5:10" x14ac:dyDescent="0.25">
      <c r="E238" s="17">
        <v>22</v>
      </c>
      <c r="F238" s="17">
        <v>14</v>
      </c>
      <c r="G238" s="17">
        <v>3</v>
      </c>
      <c r="H238" s="17"/>
      <c r="I238" s="17"/>
      <c r="J238" s="17" t="str">
        <f>IF(AND(H238&lt;&gt;"",I238&lt;&gt;""),H238-I238,"")</f>
        <v/>
      </c>
    </row>
    <row r="239" spans="5:10" x14ac:dyDescent="0.25">
      <c r="E239" s="17">
        <v>22</v>
      </c>
      <c r="F239" s="17">
        <v>13</v>
      </c>
      <c r="G239" s="17">
        <v>4</v>
      </c>
      <c r="H239" s="17"/>
      <c r="I239" s="17"/>
      <c r="J239" s="17" t="str">
        <f>IF(AND(H239&lt;&gt;"",I239&lt;&gt;""),H239-I239,"")</f>
        <v/>
      </c>
    </row>
    <row r="240" spans="5:10" x14ac:dyDescent="0.25">
      <c r="E240" s="17">
        <v>22</v>
      </c>
      <c r="F240" s="17">
        <v>12</v>
      </c>
      <c r="G240" s="17">
        <v>5</v>
      </c>
      <c r="H240" s="17"/>
      <c r="I240" s="17"/>
      <c r="J240" s="17" t="str">
        <f>IF(AND(H240&lt;&gt;"",I240&lt;&gt;""),H240-I240,"")</f>
        <v/>
      </c>
    </row>
    <row r="241" spans="5:10" x14ac:dyDescent="0.25">
      <c r="E241" s="17">
        <v>22</v>
      </c>
      <c r="F241" s="17">
        <v>11</v>
      </c>
      <c r="G241" s="17">
        <v>6</v>
      </c>
      <c r="H241" s="17"/>
      <c r="I241" s="17"/>
      <c r="J241" s="17" t="str">
        <f>IF(AND(H241&lt;&gt;"",I241&lt;&gt;""),H241-I241,"")</f>
        <v/>
      </c>
    </row>
    <row r="242" spans="5:10" x14ac:dyDescent="0.25">
      <c r="E242" s="17">
        <v>22</v>
      </c>
      <c r="F242" s="17">
        <v>10</v>
      </c>
      <c r="G242" s="17">
        <v>7</v>
      </c>
      <c r="H242" s="17"/>
      <c r="I242" s="17"/>
      <c r="J242" s="17" t="str">
        <f>IF(AND(H242&lt;&gt;"",I242&lt;&gt;""),H242-I242,"")</f>
        <v/>
      </c>
    </row>
    <row r="243" spans="5:10" x14ac:dyDescent="0.25">
      <c r="E243" s="17">
        <v>22</v>
      </c>
      <c r="F243" s="17">
        <v>9</v>
      </c>
      <c r="G243" s="17">
        <v>8</v>
      </c>
      <c r="H243" s="17"/>
      <c r="I243" s="17"/>
      <c r="J243" s="17" t="str">
        <f>IF(AND(H243&lt;&gt;"",I243&lt;&gt;""),H243-I243,"")</f>
        <v/>
      </c>
    </row>
    <row r="244" spans="5:10" x14ac:dyDescent="0.25">
      <c r="E244" s="16">
        <v>23</v>
      </c>
      <c r="F244" s="16">
        <v>17</v>
      </c>
      <c r="G244" s="16">
        <v>1</v>
      </c>
      <c r="H244" s="16"/>
      <c r="I244" s="16"/>
      <c r="J244" s="16" t="str">
        <f>IF(AND(H244&lt;&gt;"",I244&lt;&gt;""),H244-I244,"")</f>
        <v/>
      </c>
    </row>
    <row r="245" spans="5:10" x14ac:dyDescent="0.25">
      <c r="E245" s="16">
        <v>23</v>
      </c>
      <c r="F245" s="16">
        <v>16</v>
      </c>
      <c r="G245" s="16">
        <v>18</v>
      </c>
      <c r="H245" s="16"/>
      <c r="I245" s="16"/>
      <c r="J245" s="16" t="str">
        <f>IF(AND(H245&lt;&gt;"",I245&lt;&gt;""),H245-I245,"")</f>
        <v/>
      </c>
    </row>
    <row r="246" spans="5:10" x14ac:dyDescent="0.25">
      <c r="E246" s="16">
        <v>23</v>
      </c>
      <c r="F246" s="16">
        <v>15</v>
      </c>
      <c r="G246" s="16">
        <v>19</v>
      </c>
      <c r="H246" s="16"/>
      <c r="I246" s="16"/>
      <c r="J246" s="16" t="str">
        <f>IF(AND(H246&lt;&gt;"",I246&lt;&gt;""),H246-I246,"")</f>
        <v/>
      </c>
    </row>
    <row r="247" spans="5:10" x14ac:dyDescent="0.25">
      <c r="E247" s="16">
        <v>23</v>
      </c>
      <c r="F247" s="16">
        <v>14</v>
      </c>
      <c r="G247" s="16">
        <v>20</v>
      </c>
      <c r="H247" s="16"/>
      <c r="I247" s="16"/>
      <c r="J247" s="16" t="str">
        <f>IF(AND(H247&lt;&gt;"",I247&lt;&gt;""),H247-I247,"")</f>
        <v/>
      </c>
    </row>
    <row r="248" spans="5:10" x14ac:dyDescent="0.25">
      <c r="E248" s="16">
        <v>23</v>
      </c>
      <c r="F248" s="16">
        <v>13</v>
      </c>
      <c r="G248" s="16">
        <v>2</v>
      </c>
      <c r="H248" s="16"/>
      <c r="I248" s="16"/>
      <c r="J248" s="16" t="str">
        <f>IF(AND(H248&lt;&gt;"",I248&lt;&gt;""),H248-I248,"")</f>
        <v/>
      </c>
    </row>
    <row r="249" spans="5:10" x14ac:dyDescent="0.25">
      <c r="E249" s="16">
        <v>23</v>
      </c>
      <c r="F249" s="16">
        <v>12</v>
      </c>
      <c r="G249" s="16">
        <v>3</v>
      </c>
      <c r="H249" s="16"/>
      <c r="I249" s="16"/>
      <c r="J249" s="16" t="str">
        <f>IF(AND(H249&lt;&gt;"",I249&lt;&gt;""),H249-I249,"")</f>
        <v/>
      </c>
    </row>
    <row r="250" spans="5:10" x14ac:dyDescent="0.25">
      <c r="E250" s="16">
        <v>23</v>
      </c>
      <c r="F250" s="16">
        <v>11</v>
      </c>
      <c r="G250" s="16">
        <v>4</v>
      </c>
      <c r="H250" s="16"/>
      <c r="I250" s="16"/>
      <c r="J250" s="16" t="str">
        <f>IF(AND(H250&lt;&gt;"",I250&lt;&gt;""),H250-I250,"")</f>
        <v/>
      </c>
    </row>
    <row r="251" spans="5:10" x14ac:dyDescent="0.25">
      <c r="E251" s="16">
        <v>23</v>
      </c>
      <c r="F251" s="16">
        <v>10</v>
      </c>
      <c r="G251" s="16">
        <v>5</v>
      </c>
      <c r="H251" s="16"/>
      <c r="I251" s="16"/>
      <c r="J251" s="16" t="str">
        <f>IF(AND(H251&lt;&gt;"",I251&lt;&gt;""),H251-I251,"")</f>
        <v/>
      </c>
    </row>
    <row r="252" spans="5:10" x14ac:dyDescent="0.25">
      <c r="E252" s="16">
        <v>23</v>
      </c>
      <c r="F252" s="16">
        <v>9</v>
      </c>
      <c r="G252" s="16">
        <v>6</v>
      </c>
      <c r="H252" s="16"/>
      <c r="I252" s="16"/>
      <c r="J252" s="16" t="str">
        <f>IF(AND(H252&lt;&gt;"",I252&lt;&gt;""),H252-I252,"")</f>
        <v/>
      </c>
    </row>
    <row r="253" spans="5:10" x14ac:dyDescent="0.25">
      <c r="E253" s="16">
        <v>23</v>
      </c>
      <c r="F253" s="16">
        <v>8</v>
      </c>
      <c r="G253" s="16">
        <v>7</v>
      </c>
      <c r="H253" s="16"/>
      <c r="I253" s="16"/>
      <c r="J253" s="16" t="str">
        <f>IF(AND(H253&lt;&gt;"",I253&lt;&gt;""),H253-I253,"")</f>
        <v/>
      </c>
    </row>
    <row r="254" spans="5:10" x14ac:dyDescent="0.25">
      <c r="E254" s="17">
        <v>24</v>
      </c>
      <c r="F254" s="17">
        <v>16</v>
      </c>
      <c r="G254" s="17">
        <v>1</v>
      </c>
      <c r="H254" s="17"/>
      <c r="I254" s="17"/>
      <c r="J254" s="17" t="str">
        <f>IF(AND(H254&lt;&gt;"",I254&lt;&gt;""),H254-I254,"")</f>
        <v/>
      </c>
    </row>
    <row r="255" spans="5:10" x14ac:dyDescent="0.25">
      <c r="E255" s="17">
        <v>24</v>
      </c>
      <c r="F255" s="17">
        <v>15</v>
      </c>
      <c r="G255" s="17">
        <v>17</v>
      </c>
      <c r="H255" s="17"/>
      <c r="I255" s="17"/>
      <c r="J255" s="17" t="str">
        <f>IF(AND(H255&lt;&gt;"",I255&lt;&gt;""),H255-I255,"")</f>
        <v/>
      </c>
    </row>
    <row r="256" spans="5:10" x14ac:dyDescent="0.25">
      <c r="E256" s="17">
        <v>24</v>
      </c>
      <c r="F256" s="17">
        <v>14</v>
      </c>
      <c r="G256" s="17">
        <v>18</v>
      </c>
      <c r="H256" s="17"/>
      <c r="I256" s="17"/>
      <c r="J256" s="17" t="str">
        <f>IF(AND(H256&lt;&gt;"",I256&lt;&gt;""),H256-I256,"")</f>
        <v/>
      </c>
    </row>
    <row r="257" spans="5:10" x14ac:dyDescent="0.25">
      <c r="E257" s="17">
        <v>24</v>
      </c>
      <c r="F257" s="17">
        <v>13</v>
      </c>
      <c r="G257" s="17">
        <v>19</v>
      </c>
      <c r="H257" s="17"/>
      <c r="I257" s="17"/>
      <c r="J257" s="17" t="str">
        <f>IF(AND(H257&lt;&gt;"",I257&lt;&gt;""),H257-I257,"")</f>
        <v/>
      </c>
    </row>
    <row r="258" spans="5:10" x14ac:dyDescent="0.25">
      <c r="E258" s="17">
        <v>24</v>
      </c>
      <c r="F258" s="17">
        <v>12</v>
      </c>
      <c r="G258" s="17">
        <v>20</v>
      </c>
      <c r="H258" s="17"/>
      <c r="I258" s="17"/>
      <c r="J258" s="17" t="str">
        <f>IF(AND(H258&lt;&gt;"",I258&lt;&gt;""),H258-I258,"")</f>
        <v/>
      </c>
    </row>
    <row r="259" spans="5:10" x14ac:dyDescent="0.25">
      <c r="E259" s="17">
        <v>24</v>
      </c>
      <c r="F259" s="17">
        <v>11</v>
      </c>
      <c r="G259" s="17">
        <v>2</v>
      </c>
      <c r="H259" s="17"/>
      <c r="I259" s="17"/>
      <c r="J259" s="17" t="str">
        <f>IF(AND(H259&lt;&gt;"",I259&lt;&gt;""),H259-I259,"")</f>
        <v/>
      </c>
    </row>
    <row r="260" spans="5:10" x14ac:dyDescent="0.25">
      <c r="E260" s="17">
        <v>24</v>
      </c>
      <c r="F260" s="17">
        <v>10</v>
      </c>
      <c r="G260" s="17">
        <v>3</v>
      </c>
      <c r="H260" s="17"/>
      <c r="I260" s="17"/>
      <c r="J260" s="17" t="str">
        <f>IF(AND(H260&lt;&gt;"",I260&lt;&gt;""),H260-I260,"")</f>
        <v/>
      </c>
    </row>
    <row r="261" spans="5:10" x14ac:dyDescent="0.25">
      <c r="E261" s="17">
        <v>24</v>
      </c>
      <c r="F261" s="17">
        <v>9</v>
      </c>
      <c r="G261" s="17">
        <v>4</v>
      </c>
      <c r="H261" s="17"/>
      <c r="I261" s="17"/>
      <c r="J261" s="17" t="str">
        <f>IF(AND(H261&lt;&gt;"",I261&lt;&gt;""),H261-I261,"")</f>
        <v/>
      </c>
    </row>
    <row r="262" spans="5:10" x14ac:dyDescent="0.25">
      <c r="E262" s="17">
        <v>24</v>
      </c>
      <c r="F262" s="17">
        <v>8</v>
      </c>
      <c r="G262" s="17">
        <v>5</v>
      </c>
      <c r="H262" s="17"/>
      <c r="I262" s="17"/>
      <c r="J262" s="17" t="str">
        <f>IF(AND(H262&lt;&gt;"",I262&lt;&gt;""),H262-I262,"")</f>
        <v/>
      </c>
    </row>
    <row r="263" spans="5:10" x14ac:dyDescent="0.25">
      <c r="E263" s="17">
        <v>24</v>
      </c>
      <c r="F263" s="17">
        <v>7</v>
      </c>
      <c r="G263" s="17">
        <v>6</v>
      </c>
      <c r="H263" s="17"/>
      <c r="I263" s="17"/>
      <c r="J263" s="17" t="str">
        <f>IF(AND(H263&lt;&gt;"",I263&lt;&gt;""),H263-I263,"")</f>
        <v/>
      </c>
    </row>
    <row r="264" spans="5:10" x14ac:dyDescent="0.25">
      <c r="E264" s="16">
        <v>25</v>
      </c>
      <c r="F264" s="16">
        <v>15</v>
      </c>
      <c r="G264" s="16">
        <v>1</v>
      </c>
      <c r="H264" s="16"/>
      <c r="I264" s="16"/>
      <c r="J264" s="16" t="str">
        <f>IF(AND(H264&lt;&gt;"",I264&lt;&gt;""),H264-I264,"")</f>
        <v/>
      </c>
    </row>
    <row r="265" spans="5:10" x14ac:dyDescent="0.25">
      <c r="E265" s="16">
        <v>25</v>
      </c>
      <c r="F265" s="16">
        <v>14</v>
      </c>
      <c r="G265" s="16">
        <v>16</v>
      </c>
      <c r="H265" s="16"/>
      <c r="I265" s="16"/>
      <c r="J265" s="16" t="str">
        <f>IF(AND(H265&lt;&gt;"",I265&lt;&gt;""),H265-I265,"")</f>
        <v/>
      </c>
    </row>
    <row r="266" spans="5:10" x14ac:dyDescent="0.25">
      <c r="E266" s="16">
        <v>25</v>
      </c>
      <c r="F266" s="16">
        <v>13</v>
      </c>
      <c r="G266" s="16">
        <v>17</v>
      </c>
      <c r="H266" s="16"/>
      <c r="I266" s="16"/>
      <c r="J266" s="16" t="str">
        <f>IF(AND(H266&lt;&gt;"",I266&lt;&gt;""),H266-I266,"")</f>
        <v/>
      </c>
    </row>
    <row r="267" spans="5:10" x14ac:dyDescent="0.25">
      <c r="E267" s="16">
        <v>25</v>
      </c>
      <c r="F267" s="16">
        <v>12</v>
      </c>
      <c r="G267" s="16">
        <v>18</v>
      </c>
      <c r="H267" s="16"/>
      <c r="I267" s="16"/>
      <c r="J267" s="16" t="str">
        <f>IF(AND(H267&lt;&gt;"",I267&lt;&gt;""),H267-I267,"")</f>
        <v/>
      </c>
    </row>
    <row r="268" spans="5:10" x14ac:dyDescent="0.25">
      <c r="E268" s="16">
        <v>25</v>
      </c>
      <c r="F268" s="16">
        <v>11</v>
      </c>
      <c r="G268" s="16">
        <v>19</v>
      </c>
      <c r="H268" s="16"/>
      <c r="I268" s="16"/>
      <c r="J268" s="16" t="str">
        <f>IF(AND(H268&lt;&gt;"",I268&lt;&gt;""),H268-I268,"")</f>
        <v/>
      </c>
    </row>
    <row r="269" spans="5:10" x14ac:dyDescent="0.25">
      <c r="E269" s="16">
        <v>25</v>
      </c>
      <c r="F269" s="16">
        <v>10</v>
      </c>
      <c r="G269" s="16">
        <v>20</v>
      </c>
      <c r="H269" s="16"/>
      <c r="I269" s="16"/>
      <c r="J269" s="16" t="str">
        <f>IF(AND(H269&lt;&gt;"",I269&lt;&gt;""),H269-I269,"")</f>
        <v/>
      </c>
    </row>
    <row r="270" spans="5:10" x14ac:dyDescent="0.25">
      <c r="E270" s="16">
        <v>25</v>
      </c>
      <c r="F270" s="16">
        <v>9</v>
      </c>
      <c r="G270" s="16">
        <v>2</v>
      </c>
      <c r="H270" s="16"/>
      <c r="I270" s="16"/>
      <c r="J270" s="16" t="str">
        <f>IF(AND(H270&lt;&gt;"",I270&lt;&gt;""),H270-I270,"")</f>
        <v/>
      </c>
    </row>
    <row r="271" spans="5:10" x14ac:dyDescent="0.25">
      <c r="E271" s="16">
        <v>25</v>
      </c>
      <c r="F271" s="16">
        <v>8</v>
      </c>
      <c r="G271" s="16">
        <v>3</v>
      </c>
      <c r="H271" s="16"/>
      <c r="I271" s="16"/>
      <c r="J271" s="16" t="str">
        <f>IF(AND(H271&lt;&gt;"",I271&lt;&gt;""),H271-I271,"")</f>
        <v/>
      </c>
    </row>
    <row r="272" spans="5:10" x14ac:dyDescent="0.25">
      <c r="E272" s="16">
        <v>25</v>
      </c>
      <c r="F272" s="16">
        <v>7</v>
      </c>
      <c r="G272" s="16">
        <v>4</v>
      </c>
      <c r="H272" s="16"/>
      <c r="I272" s="16"/>
      <c r="J272" s="16" t="str">
        <f>IF(AND(H272&lt;&gt;"",I272&lt;&gt;""),H272-I272,"")</f>
        <v/>
      </c>
    </row>
    <row r="273" spans="5:10" x14ac:dyDescent="0.25">
      <c r="E273" s="16">
        <v>25</v>
      </c>
      <c r="F273" s="16">
        <v>6</v>
      </c>
      <c r="G273" s="16">
        <v>5</v>
      </c>
      <c r="H273" s="16"/>
      <c r="I273" s="16"/>
      <c r="J273" s="16" t="str">
        <f>IF(AND(H273&lt;&gt;"",I273&lt;&gt;""),H273-I273,"")</f>
        <v/>
      </c>
    </row>
    <row r="274" spans="5:10" x14ac:dyDescent="0.25">
      <c r="E274" s="17">
        <v>26</v>
      </c>
      <c r="F274" s="17">
        <v>14</v>
      </c>
      <c r="G274" s="17">
        <v>1</v>
      </c>
      <c r="H274" s="17"/>
      <c r="I274" s="17"/>
      <c r="J274" s="17" t="str">
        <f>IF(AND(H274&lt;&gt;"",I274&lt;&gt;""),H274-I274,"")</f>
        <v/>
      </c>
    </row>
    <row r="275" spans="5:10" x14ac:dyDescent="0.25">
      <c r="E275" s="17">
        <v>26</v>
      </c>
      <c r="F275" s="17">
        <v>13</v>
      </c>
      <c r="G275" s="17">
        <v>15</v>
      </c>
      <c r="H275" s="17"/>
      <c r="I275" s="17"/>
      <c r="J275" s="17" t="str">
        <f>IF(AND(H275&lt;&gt;"",I275&lt;&gt;""),H275-I275,"")</f>
        <v/>
      </c>
    </row>
    <row r="276" spans="5:10" x14ac:dyDescent="0.25">
      <c r="E276" s="17">
        <v>26</v>
      </c>
      <c r="F276" s="17">
        <v>12</v>
      </c>
      <c r="G276" s="17">
        <v>16</v>
      </c>
      <c r="H276" s="17"/>
      <c r="I276" s="17"/>
      <c r="J276" s="17" t="str">
        <f>IF(AND(H276&lt;&gt;"",I276&lt;&gt;""),H276-I276,"")</f>
        <v/>
      </c>
    </row>
    <row r="277" spans="5:10" x14ac:dyDescent="0.25">
      <c r="E277" s="17">
        <v>26</v>
      </c>
      <c r="F277" s="17">
        <v>11</v>
      </c>
      <c r="G277" s="17">
        <v>17</v>
      </c>
      <c r="H277" s="17"/>
      <c r="I277" s="17"/>
      <c r="J277" s="17" t="str">
        <f>IF(AND(H277&lt;&gt;"",I277&lt;&gt;""),H277-I277,"")</f>
        <v/>
      </c>
    </row>
    <row r="278" spans="5:10" x14ac:dyDescent="0.25">
      <c r="E278" s="17">
        <v>26</v>
      </c>
      <c r="F278" s="17">
        <v>10</v>
      </c>
      <c r="G278" s="17">
        <v>18</v>
      </c>
      <c r="H278" s="17"/>
      <c r="I278" s="17"/>
      <c r="J278" s="17" t="str">
        <f>IF(AND(H278&lt;&gt;"",I278&lt;&gt;""),H278-I278,"")</f>
        <v/>
      </c>
    </row>
    <row r="279" spans="5:10" x14ac:dyDescent="0.25">
      <c r="E279" s="17">
        <v>26</v>
      </c>
      <c r="F279" s="17">
        <v>9</v>
      </c>
      <c r="G279" s="17">
        <v>19</v>
      </c>
      <c r="H279" s="17"/>
      <c r="I279" s="17"/>
      <c r="J279" s="17" t="str">
        <f>IF(AND(H279&lt;&gt;"",I279&lt;&gt;""),H279-I279,"")</f>
        <v/>
      </c>
    </row>
    <row r="280" spans="5:10" x14ac:dyDescent="0.25">
      <c r="E280" s="17">
        <v>26</v>
      </c>
      <c r="F280" s="17">
        <v>8</v>
      </c>
      <c r="G280" s="17">
        <v>20</v>
      </c>
      <c r="H280" s="17"/>
      <c r="I280" s="17"/>
      <c r="J280" s="17" t="str">
        <f>IF(AND(H280&lt;&gt;"",I280&lt;&gt;""),H280-I280,"")</f>
        <v/>
      </c>
    </row>
    <row r="281" spans="5:10" x14ac:dyDescent="0.25">
      <c r="E281" s="17">
        <v>26</v>
      </c>
      <c r="F281" s="17">
        <v>7</v>
      </c>
      <c r="G281" s="17">
        <v>2</v>
      </c>
      <c r="H281" s="17"/>
      <c r="I281" s="17"/>
      <c r="J281" s="17" t="str">
        <f>IF(AND(H281&lt;&gt;"",I281&lt;&gt;""),H281-I281,"")</f>
        <v/>
      </c>
    </row>
    <row r="282" spans="5:10" x14ac:dyDescent="0.25">
      <c r="E282" s="17">
        <v>26</v>
      </c>
      <c r="F282" s="17">
        <v>6</v>
      </c>
      <c r="G282" s="17">
        <v>3</v>
      </c>
      <c r="H282" s="17"/>
      <c r="I282" s="17"/>
      <c r="J282" s="17" t="str">
        <f>IF(AND(H282&lt;&gt;"",I282&lt;&gt;""),H282-I282,"")</f>
        <v/>
      </c>
    </row>
    <row r="283" spans="5:10" x14ac:dyDescent="0.25">
      <c r="E283" s="17">
        <v>26</v>
      </c>
      <c r="F283" s="17">
        <v>5</v>
      </c>
      <c r="G283" s="17">
        <v>4</v>
      </c>
      <c r="H283" s="17"/>
      <c r="I283" s="17"/>
      <c r="J283" s="17" t="str">
        <f>IF(AND(H283&lt;&gt;"",I283&lt;&gt;""),H283-I283,"")</f>
        <v/>
      </c>
    </row>
    <row r="284" spans="5:10" x14ac:dyDescent="0.25">
      <c r="E284" s="16">
        <v>27</v>
      </c>
      <c r="F284" s="16">
        <v>13</v>
      </c>
      <c r="G284" s="16">
        <v>1</v>
      </c>
      <c r="H284" s="16"/>
      <c r="I284" s="16"/>
      <c r="J284" s="16" t="str">
        <f>IF(AND(H284&lt;&gt;"",I284&lt;&gt;""),H284-I284,"")</f>
        <v/>
      </c>
    </row>
    <row r="285" spans="5:10" x14ac:dyDescent="0.25">
      <c r="E285" s="16">
        <v>27</v>
      </c>
      <c r="F285" s="16">
        <v>12</v>
      </c>
      <c r="G285" s="16">
        <v>14</v>
      </c>
      <c r="H285" s="16"/>
      <c r="I285" s="16"/>
      <c r="J285" s="16" t="str">
        <f>IF(AND(H285&lt;&gt;"",I285&lt;&gt;""),H285-I285,"")</f>
        <v/>
      </c>
    </row>
    <row r="286" spans="5:10" x14ac:dyDescent="0.25">
      <c r="E286" s="16">
        <v>27</v>
      </c>
      <c r="F286" s="16">
        <v>11</v>
      </c>
      <c r="G286" s="16">
        <v>15</v>
      </c>
      <c r="H286" s="16"/>
      <c r="I286" s="16"/>
      <c r="J286" s="16" t="str">
        <f>IF(AND(H286&lt;&gt;"",I286&lt;&gt;""),H286-I286,"")</f>
        <v/>
      </c>
    </row>
    <row r="287" spans="5:10" x14ac:dyDescent="0.25">
      <c r="E287" s="16">
        <v>27</v>
      </c>
      <c r="F287" s="16">
        <v>10</v>
      </c>
      <c r="G287" s="16">
        <v>16</v>
      </c>
      <c r="H287" s="16"/>
      <c r="I287" s="16"/>
      <c r="J287" s="16" t="str">
        <f>IF(AND(H287&lt;&gt;"",I287&lt;&gt;""),H287-I287,"")</f>
        <v/>
      </c>
    </row>
    <row r="288" spans="5:10" x14ac:dyDescent="0.25">
      <c r="E288" s="16">
        <v>27</v>
      </c>
      <c r="F288" s="16">
        <v>9</v>
      </c>
      <c r="G288" s="16">
        <v>17</v>
      </c>
      <c r="H288" s="16"/>
      <c r="I288" s="16"/>
      <c r="J288" s="16" t="str">
        <f>IF(AND(H288&lt;&gt;"",I288&lt;&gt;""),H288-I288,"")</f>
        <v/>
      </c>
    </row>
    <row r="289" spans="5:10" x14ac:dyDescent="0.25">
      <c r="E289" s="16">
        <v>27</v>
      </c>
      <c r="F289" s="16">
        <v>8</v>
      </c>
      <c r="G289" s="16">
        <v>18</v>
      </c>
      <c r="H289" s="16"/>
      <c r="I289" s="16"/>
      <c r="J289" s="16" t="str">
        <f>IF(AND(H289&lt;&gt;"",I289&lt;&gt;""),H289-I289,"")</f>
        <v/>
      </c>
    </row>
    <row r="290" spans="5:10" x14ac:dyDescent="0.25">
      <c r="E290" s="16">
        <v>27</v>
      </c>
      <c r="F290" s="16">
        <v>7</v>
      </c>
      <c r="G290" s="16">
        <v>19</v>
      </c>
      <c r="H290" s="16"/>
      <c r="I290" s="16"/>
      <c r="J290" s="16" t="str">
        <f>IF(AND(H290&lt;&gt;"",I290&lt;&gt;""),H290-I290,"")</f>
        <v/>
      </c>
    </row>
    <row r="291" spans="5:10" x14ac:dyDescent="0.25">
      <c r="E291" s="16">
        <v>27</v>
      </c>
      <c r="F291" s="16">
        <v>6</v>
      </c>
      <c r="G291" s="16">
        <v>20</v>
      </c>
      <c r="H291" s="16"/>
      <c r="I291" s="16"/>
      <c r="J291" s="16" t="str">
        <f>IF(AND(H291&lt;&gt;"",I291&lt;&gt;""),H291-I291,"")</f>
        <v/>
      </c>
    </row>
    <row r="292" spans="5:10" x14ac:dyDescent="0.25">
      <c r="E292" s="16">
        <v>27</v>
      </c>
      <c r="F292" s="16">
        <v>5</v>
      </c>
      <c r="G292" s="16">
        <v>2</v>
      </c>
      <c r="H292" s="16"/>
      <c r="I292" s="16"/>
      <c r="J292" s="16" t="str">
        <f>IF(AND(H292&lt;&gt;"",I292&lt;&gt;""),H292-I292,"")</f>
        <v/>
      </c>
    </row>
    <row r="293" spans="5:10" x14ac:dyDescent="0.25">
      <c r="E293" s="16">
        <v>27</v>
      </c>
      <c r="F293" s="16">
        <v>4</v>
      </c>
      <c r="G293" s="16">
        <v>3</v>
      </c>
      <c r="H293" s="16"/>
      <c r="I293" s="16"/>
      <c r="J293" s="16" t="str">
        <f>IF(AND(H293&lt;&gt;"",I293&lt;&gt;""),H293-I293,"")</f>
        <v/>
      </c>
    </row>
    <row r="294" spans="5:10" x14ac:dyDescent="0.25">
      <c r="E294" s="17">
        <v>28</v>
      </c>
      <c r="F294" s="17">
        <v>12</v>
      </c>
      <c r="G294" s="17">
        <v>1</v>
      </c>
      <c r="H294" s="17"/>
      <c r="I294" s="17"/>
      <c r="J294" s="17" t="str">
        <f>IF(AND(H294&lt;&gt;"",I294&lt;&gt;""),H294-I294,"")</f>
        <v/>
      </c>
    </row>
    <row r="295" spans="5:10" x14ac:dyDescent="0.25">
      <c r="E295" s="17">
        <v>28</v>
      </c>
      <c r="F295" s="17">
        <v>11</v>
      </c>
      <c r="G295" s="17">
        <v>13</v>
      </c>
      <c r="H295" s="17"/>
      <c r="I295" s="17"/>
      <c r="J295" s="17" t="str">
        <f>IF(AND(H295&lt;&gt;"",I295&lt;&gt;""),H295-I295,"")</f>
        <v/>
      </c>
    </row>
    <row r="296" spans="5:10" x14ac:dyDescent="0.25">
      <c r="E296" s="17">
        <v>28</v>
      </c>
      <c r="F296" s="17">
        <v>10</v>
      </c>
      <c r="G296" s="17">
        <v>14</v>
      </c>
      <c r="H296" s="17"/>
      <c r="I296" s="17"/>
      <c r="J296" s="17" t="str">
        <f>IF(AND(H296&lt;&gt;"",I296&lt;&gt;""),H296-I296,"")</f>
        <v/>
      </c>
    </row>
    <row r="297" spans="5:10" x14ac:dyDescent="0.25">
      <c r="E297" s="17">
        <v>28</v>
      </c>
      <c r="F297" s="17">
        <v>9</v>
      </c>
      <c r="G297" s="17">
        <v>15</v>
      </c>
      <c r="H297" s="17"/>
      <c r="I297" s="17"/>
      <c r="J297" s="17" t="str">
        <f>IF(AND(H297&lt;&gt;"",I297&lt;&gt;""),H297-I297,"")</f>
        <v/>
      </c>
    </row>
    <row r="298" spans="5:10" x14ac:dyDescent="0.25">
      <c r="E298" s="17">
        <v>28</v>
      </c>
      <c r="F298" s="17">
        <v>8</v>
      </c>
      <c r="G298" s="17">
        <v>16</v>
      </c>
      <c r="H298" s="17"/>
      <c r="I298" s="17"/>
      <c r="J298" s="17" t="str">
        <f>IF(AND(H298&lt;&gt;"",I298&lt;&gt;""),H298-I298,"")</f>
        <v/>
      </c>
    </row>
    <row r="299" spans="5:10" x14ac:dyDescent="0.25">
      <c r="E299" s="17">
        <v>28</v>
      </c>
      <c r="F299" s="17">
        <v>7</v>
      </c>
      <c r="G299" s="17">
        <v>17</v>
      </c>
      <c r="H299" s="17"/>
      <c r="I299" s="17"/>
      <c r="J299" s="17" t="str">
        <f>IF(AND(H299&lt;&gt;"",I299&lt;&gt;""),H299-I299,"")</f>
        <v/>
      </c>
    </row>
    <row r="300" spans="5:10" x14ac:dyDescent="0.25">
      <c r="E300" s="17">
        <v>28</v>
      </c>
      <c r="F300" s="17">
        <v>6</v>
      </c>
      <c r="G300" s="17">
        <v>18</v>
      </c>
      <c r="H300" s="17"/>
      <c r="I300" s="17"/>
      <c r="J300" s="17" t="str">
        <f>IF(AND(H300&lt;&gt;"",I300&lt;&gt;""),H300-I300,"")</f>
        <v/>
      </c>
    </row>
    <row r="301" spans="5:10" x14ac:dyDescent="0.25">
      <c r="E301" s="17">
        <v>28</v>
      </c>
      <c r="F301" s="17">
        <v>5</v>
      </c>
      <c r="G301" s="17">
        <v>19</v>
      </c>
      <c r="H301" s="17"/>
      <c r="I301" s="17"/>
      <c r="J301" s="17" t="str">
        <f>IF(AND(H301&lt;&gt;"",I301&lt;&gt;""),H301-I301,"")</f>
        <v/>
      </c>
    </row>
    <row r="302" spans="5:10" x14ac:dyDescent="0.25">
      <c r="E302" s="17">
        <v>28</v>
      </c>
      <c r="F302" s="17">
        <v>4</v>
      </c>
      <c r="G302" s="17">
        <v>20</v>
      </c>
      <c r="H302" s="17"/>
      <c r="I302" s="17"/>
      <c r="J302" s="17" t="str">
        <f>IF(AND(H302&lt;&gt;"",I302&lt;&gt;""),H302-I302,"")</f>
        <v/>
      </c>
    </row>
    <row r="303" spans="5:10" x14ac:dyDescent="0.25">
      <c r="E303" s="17">
        <v>28</v>
      </c>
      <c r="F303" s="17">
        <v>3</v>
      </c>
      <c r="G303" s="17">
        <v>2</v>
      </c>
      <c r="H303" s="17"/>
      <c r="I303" s="17"/>
      <c r="J303" s="17" t="str">
        <f>IF(AND(H303&lt;&gt;"",I303&lt;&gt;""),H303-I303,"")</f>
        <v/>
      </c>
    </row>
    <row r="304" spans="5:10" x14ac:dyDescent="0.25">
      <c r="E304" s="16">
        <v>29</v>
      </c>
      <c r="F304" s="16">
        <v>11</v>
      </c>
      <c r="G304" s="16">
        <v>1</v>
      </c>
      <c r="H304" s="16"/>
      <c r="I304" s="16"/>
      <c r="J304" s="16" t="str">
        <f>IF(AND(H304&lt;&gt;"",I304&lt;&gt;""),H304-I304,"")</f>
        <v/>
      </c>
    </row>
    <row r="305" spans="5:10" x14ac:dyDescent="0.25">
      <c r="E305" s="16">
        <v>29</v>
      </c>
      <c r="F305" s="16">
        <v>10</v>
      </c>
      <c r="G305" s="16">
        <v>12</v>
      </c>
      <c r="H305" s="16"/>
      <c r="I305" s="16"/>
      <c r="J305" s="16" t="str">
        <f>IF(AND(H305&lt;&gt;"",I305&lt;&gt;""),H305-I305,"")</f>
        <v/>
      </c>
    </row>
    <row r="306" spans="5:10" x14ac:dyDescent="0.25">
      <c r="E306" s="16">
        <v>29</v>
      </c>
      <c r="F306" s="16">
        <v>9</v>
      </c>
      <c r="G306" s="16">
        <v>13</v>
      </c>
      <c r="H306" s="16"/>
      <c r="I306" s="16"/>
      <c r="J306" s="16" t="str">
        <f>IF(AND(H306&lt;&gt;"",I306&lt;&gt;""),H306-I306,"")</f>
        <v/>
      </c>
    </row>
    <row r="307" spans="5:10" x14ac:dyDescent="0.25">
      <c r="E307" s="16">
        <v>29</v>
      </c>
      <c r="F307" s="16">
        <v>8</v>
      </c>
      <c r="G307" s="16">
        <v>14</v>
      </c>
      <c r="H307" s="16"/>
      <c r="I307" s="16"/>
      <c r="J307" s="16" t="str">
        <f>IF(AND(H307&lt;&gt;"",I307&lt;&gt;""),H307-I307,"")</f>
        <v/>
      </c>
    </row>
    <row r="308" spans="5:10" x14ac:dyDescent="0.25">
      <c r="E308" s="16">
        <v>29</v>
      </c>
      <c r="F308" s="16">
        <v>7</v>
      </c>
      <c r="G308" s="16">
        <v>15</v>
      </c>
      <c r="H308" s="16"/>
      <c r="I308" s="16"/>
      <c r="J308" s="16" t="str">
        <f>IF(AND(H308&lt;&gt;"",I308&lt;&gt;""),H308-I308,"")</f>
        <v/>
      </c>
    </row>
    <row r="309" spans="5:10" x14ac:dyDescent="0.25">
      <c r="E309" s="16">
        <v>29</v>
      </c>
      <c r="F309" s="16">
        <v>6</v>
      </c>
      <c r="G309" s="16">
        <v>16</v>
      </c>
      <c r="H309" s="16"/>
      <c r="I309" s="16"/>
      <c r="J309" s="16" t="str">
        <f>IF(AND(H309&lt;&gt;"",I309&lt;&gt;""),H309-I309,"")</f>
        <v/>
      </c>
    </row>
    <row r="310" spans="5:10" x14ac:dyDescent="0.25">
      <c r="E310" s="16">
        <v>29</v>
      </c>
      <c r="F310" s="16">
        <v>5</v>
      </c>
      <c r="G310" s="16">
        <v>17</v>
      </c>
      <c r="H310" s="16"/>
      <c r="I310" s="16"/>
      <c r="J310" s="16" t="str">
        <f>IF(AND(H310&lt;&gt;"",I310&lt;&gt;""),H310-I310,"")</f>
        <v/>
      </c>
    </row>
    <row r="311" spans="5:10" x14ac:dyDescent="0.25">
      <c r="E311" s="16">
        <v>29</v>
      </c>
      <c r="F311" s="16">
        <v>4</v>
      </c>
      <c r="G311" s="16">
        <v>18</v>
      </c>
      <c r="H311" s="16"/>
      <c r="I311" s="16"/>
      <c r="J311" s="16" t="str">
        <f>IF(AND(H311&lt;&gt;"",I311&lt;&gt;""),H311-I311,"")</f>
        <v/>
      </c>
    </row>
    <row r="312" spans="5:10" x14ac:dyDescent="0.25">
      <c r="E312" s="16">
        <v>29</v>
      </c>
      <c r="F312" s="16">
        <v>3</v>
      </c>
      <c r="G312" s="16">
        <v>19</v>
      </c>
      <c r="H312" s="16"/>
      <c r="I312" s="16"/>
      <c r="J312" s="16" t="str">
        <f>IF(AND(H312&lt;&gt;"",I312&lt;&gt;""),H312-I312,"")</f>
        <v/>
      </c>
    </row>
    <row r="313" spans="5:10" x14ac:dyDescent="0.25">
      <c r="E313" s="16">
        <v>29</v>
      </c>
      <c r="F313" s="16">
        <v>2</v>
      </c>
      <c r="G313" s="16">
        <v>20</v>
      </c>
      <c r="H313" s="16"/>
      <c r="I313" s="16"/>
      <c r="J313" s="16" t="str">
        <f>IF(AND(H313&lt;&gt;"",I313&lt;&gt;""),H313-I313,"")</f>
        <v/>
      </c>
    </row>
    <row r="314" spans="5:10" x14ac:dyDescent="0.25">
      <c r="E314" s="17">
        <v>30</v>
      </c>
      <c r="F314" s="17">
        <v>10</v>
      </c>
      <c r="G314" s="17">
        <v>1</v>
      </c>
      <c r="H314" s="17"/>
      <c r="I314" s="17"/>
      <c r="J314" s="17" t="str">
        <f>IF(AND(H314&lt;&gt;"",I314&lt;&gt;""),H314-I314,"")</f>
        <v/>
      </c>
    </row>
    <row r="315" spans="5:10" x14ac:dyDescent="0.25">
      <c r="E315" s="17">
        <v>30</v>
      </c>
      <c r="F315" s="17">
        <v>9</v>
      </c>
      <c r="G315" s="17">
        <v>11</v>
      </c>
      <c r="H315" s="17"/>
      <c r="I315" s="17"/>
      <c r="J315" s="17" t="str">
        <f>IF(AND(H315&lt;&gt;"",I315&lt;&gt;""),H315-I315,"")</f>
        <v/>
      </c>
    </row>
    <row r="316" spans="5:10" x14ac:dyDescent="0.25">
      <c r="E316" s="17">
        <v>30</v>
      </c>
      <c r="F316" s="17">
        <v>8</v>
      </c>
      <c r="G316" s="17">
        <v>12</v>
      </c>
      <c r="H316" s="17"/>
      <c r="I316" s="17"/>
      <c r="J316" s="17" t="str">
        <f>IF(AND(H316&lt;&gt;"",I316&lt;&gt;""),H316-I316,"")</f>
        <v/>
      </c>
    </row>
    <row r="317" spans="5:10" x14ac:dyDescent="0.25">
      <c r="E317" s="17">
        <v>30</v>
      </c>
      <c r="F317" s="17">
        <v>7</v>
      </c>
      <c r="G317" s="17">
        <v>13</v>
      </c>
      <c r="H317" s="17"/>
      <c r="I317" s="17"/>
      <c r="J317" s="17" t="str">
        <f>IF(AND(H317&lt;&gt;"",I317&lt;&gt;""),H317-I317,"")</f>
        <v/>
      </c>
    </row>
    <row r="318" spans="5:10" x14ac:dyDescent="0.25">
      <c r="E318" s="17">
        <v>30</v>
      </c>
      <c r="F318" s="17">
        <v>6</v>
      </c>
      <c r="G318" s="17">
        <v>14</v>
      </c>
      <c r="H318" s="17"/>
      <c r="I318" s="17"/>
      <c r="J318" s="17" t="str">
        <f>IF(AND(H318&lt;&gt;"",I318&lt;&gt;""),H318-I318,"")</f>
        <v/>
      </c>
    </row>
    <row r="319" spans="5:10" x14ac:dyDescent="0.25">
      <c r="E319" s="17">
        <v>30</v>
      </c>
      <c r="F319" s="17">
        <v>5</v>
      </c>
      <c r="G319" s="17">
        <v>15</v>
      </c>
      <c r="H319" s="17"/>
      <c r="I319" s="17"/>
      <c r="J319" s="17" t="str">
        <f>IF(AND(H319&lt;&gt;"",I319&lt;&gt;""),H319-I319,"")</f>
        <v/>
      </c>
    </row>
    <row r="320" spans="5:10" x14ac:dyDescent="0.25">
      <c r="E320" s="17">
        <v>30</v>
      </c>
      <c r="F320" s="17">
        <v>4</v>
      </c>
      <c r="G320" s="17">
        <v>16</v>
      </c>
      <c r="H320" s="17"/>
      <c r="I320" s="17"/>
      <c r="J320" s="17" t="str">
        <f>IF(AND(H320&lt;&gt;"",I320&lt;&gt;""),H320-I320,"")</f>
        <v/>
      </c>
    </row>
    <row r="321" spans="5:10" x14ac:dyDescent="0.25">
      <c r="E321" s="17">
        <v>30</v>
      </c>
      <c r="F321" s="17">
        <v>3</v>
      </c>
      <c r="G321" s="17">
        <v>17</v>
      </c>
      <c r="H321" s="17"/>
      <c r="I321" s="17"/>
      <c r="J321" s="17" t="str">
        <f>IF(AND(H321&lt;&gt;"",I321&lt;&gt;""),H321-I321,"")</f>
        <v/>
      </c>
    </row>
    <row r="322" spans="5:10" x14ac:dyDescent="0.25">
      <c r="E322" s="17">
        <v>30</v>
      </c>
      <c r="F322" s="17">
        <v>2</v>
      </c>
      <c r="G322" s="17">
        <v>18</v>
      </c>
      <c r="H322" s="17"/>
      <c r="I322" s="17"/>
      <c r="J322" s="17" t="str">
        <f>IF(AND(H322&lt;&gt;"",I322&lt;&gt;""),H322-I322,"")</f>
        <v/>
      </c>
    </row>
    <row r="323" spans="5:10" x14ac:dyDescent="0.25">
      <c r="E323" s="17">
        <v>30</v>
      </c>
      <c r="F323" s="17">
        <v>20</v>
      </c>
      <c r="G323" s="17">
        <v>19</v>
      </c>
      <c r="H323" s="17"/>
      <c r="I323" s="17"/>
      <c r="J323" s="17" t="str">
        <f>IF(AND(H323&lt;&gt;"",I323&lt;&gt;""),H323-I323,"")</f>
        <v/>
      </c>
    </row>
    <row r="324" spans="5:10" x14ac:dyDescent="0.25">
      <c r="E324" s="16">
        <v>31</v>
      </c>
      <c r="F324" s="16">
        <v>9</v>
      </c>
      <c r="G324" s="16">
        <v>1</v>
      </c>
      <c r="H324" s="16"/>
      <c r="I324" s="16"/>
      <c r="J324" s="16" t="str">
        <f>IF(AND(H324&lt;&gt;"",I324&lt;&gt;""),H324-I324,"")</f>
        <v/>
      </c>
    </row>
    <row r="325" spans="5:10" x14ac:dyDescent="0.25">
      <c r="E325" s="16">
        <v>31</v>
      </c>
      <c r="F325" s="16">
        <v>8</v>
      </c>
      <c r="G325" s="16">
        <v>10</v>
      </c>
      <c r="H325" s="16"/>
      <c r="I325" s="16"/>
      <c r="J325" s="16" t="str">
        <f>IF(AND(H325&lt;&gt;"",I325&lt;&gt;""),H325-I325,"")</f>
        <v/>
      </c>
    </row>
    <row r="326" spans="5:10" x14ac:dyDescent="0.25">
      <c r="E326" s="16">
        <v>31</v>
      </c>
      <c r="F326" s="16">
        <v>7</v>
      </c>
      <c r="G326" s="16">
        <v>11</v>
      </c>
      <c r="H326" s="16"/>
      <c r="I326" s="16"/>
      <c r="J326" s="16" t="str">
        <f>IF(AND(H326&lt;&gt;"",I326&lt;&gt;""),H326-I326,"")</f>
        <v/>
      </c>
    </row>
    <row r="327" spans="5:10" x14ac:dyDescent="0.25">
      <c r="E327" s="16">
        <v>31</v>
      </c>
      <c r="F327" s="16">
        <v>6</v>
      </c>
      <c r="G327" s="16">
        <v>12</v>
      </c>
      <c r="H327" s="16"/>
      <c r="I327" s="16"/>
      <c r="J327" s="16" t="str">
        <f>IF(AND(H327&lt;&gt;"",I327&lt;&gt;""),H327-I327,"")</f>
        <v/>
      </c>
    </row>
    <row r="328" spans="5:10" x14ac:dyDescent="0.25">
      <c r="E328" s="16">
        <v>31</v>
      </c>
      <c r="F328" s="16">
        <v>5</v>
      </c>
      <c r="G328" s="16">
        <v>13</v>
      </c>
      <c r="H328" s="16"/>
      <c r="I328" s="16"/>
      <c r="J328" s="16" t="str">
        <f>IF(AND(H328&lt;&gt;"",I328&lt;&gt;""),H328-I328,"")</f>
        <v/>
      </c>
    </row>
    <row r="329" spans="5:10" x14ac:dyDescent="0.25">
      <c r="E329" s="16">
        <v>31</v>
      </c>
      <c r="F329" s="16">
        <v>4</v>
      </c>
      <c r="G329" s="16">
        <v>14</v>
      </c>
      <c r="H329" s="16"/>
      <c r="I329" s="16"/>
      <c r="J329" s="16" t="str">
        <f>IF(AND(H329&lt;&gt;"",I329&lt;&gt;""),H329-I329,"")</f>
        <v/>
      </c>
    </row>
    <row r="330" spans="5:10" x14ac:dyDescent="0.25">
      <c r="E330" s="16">
        <v>31</v>
      </c>
      <c r="F330" s="16">
        <v>3</v>
      </c>
      <c r="G330" s="16">
        <v>15</v>
      </c>
      <c r="H330" s="16"/>
      <c r="I330" s="16"/>
      <c r="J330" s="16" t="str">
        <f>IF(AND(H330&lt;&gt;"",I330&lt;&gt;""),H330-I330,"")</f>
        <v/>
      </c>
    </row>
    <row r="331" spans="5:10" x14ac:dyDescent="0.25">
      <c r="E331" s="16">
        <v>31</v>
      </c>
      <c r="F331" s="16">
        <v>2</v>
      </c>
      <c r="G331" s="16">
        <v>16</v>
      </c>
      <c r="H331" s="16"/>
      <c r="I331" s="16"/>
      <c r="J331" s="16" t="str">
        <f>IF(AND(H331&lt;&gt;"",I331&lt;&gt;""),H331-I331,"")</f>
        <v/>
      </c>
    </row>
    <row r="332" spans="5:10" x14ac:dyDescent="0.25">
      <c r="E332" s="16">
        <v>31</v>
      </c>
      <c r="F332" s="16">
        <v>20</v>
      </c>
      <c r="G332" s="16">
        <v>17</v>
      </c>
      <c r="H332" s="16"/>
      <c r="I332" s="16"/>
      <c r="J332" s="16" t="str">
        <f>IF(AND(H332&lt;&gt;"",I332&lt;&gt;""),H332-I332,"")</f>
        <v/>
      </c>
    </row>
    <row r="333" spans="5:10" x14ac:dyDescent="0.25">
      <c r="E333" s="16">
        <v>31</v>
      </c>
      <c r="F333" s="16">
        <v>19</v>
      </c>
      <c r="G333" s="16">
        <v>18</v>
      </c>
      <c r="H333" s="16"/>
      <c r="I333" s="16"/>
      <c r="J333" s="16" t="str">
        <f>IF(AND(H333&lt;&gt;"",I333&lt;&gt;""),H333-I333,"")</f>
        <v/>
      </c>
    </row>
    <row r="334" spans="5:10" x14ac:dyDescent="0.25">
      <c r="E334" s="17">
        <v>32</v>
      </c>
      <c r="F334" s="17">
        <v>8</v>
      </c>
      <c r="G334" s="17">
        <v>1</v>
      </c>
      <c r="H334" s="17"/>
      <c r="I334" s="17"/>
      <c r="J334" s="17" t="str">
        <f>IF(AND(H334&lt;&gt;"",I334&lt;&gt;""),H334-I334,"")</f>
        <v/>
      </c>
    </row>
    <row r="335" spans="5:10" x14ac:dyDescent="0.25">
      <c r="E335" s="17">
        <v>32</v>
      </c>
      <c r="F335" s="17">
        <v>7</v>
      </c>
      <c r="G335" s="17">
        <v>9</v>
      </c>
      <c r="H335" s="17"/>
      <c r="I335" s="17"/>
      <c r="J335" s="17" t="str">
        <f>IF(AND(H335&lt;&gt;"",I335&lt;&gt;""),H335-I335,"")</f>
        <v/>
      </c>
    </row>
    <row r="336" spans="5:10" x14ac:dyDescent="0.25">
      <c r="E336" s="17">
        <v>32</v>
      </c>
      <c r="F336" s="17">
        <v>6</v>
      </c>
      <c r="G336" s="17">
        <v>10</v>
      </c>
      <c r="H336" s="17"/>
      <c r="I336" s="17"/>
      <c r="J336" s="17" t="str">
        <f>IF(AND(H336&lt;&gt;"",I336&lt;&gt;""),H336-I336,"")</f>
        <v/>
      </c>
    </row>
    <row r="337" spans="5:10" x14ac:dyDescent="0.25">
      <c r="E337" s="17">
        <v>32</v>
      </c>
      <c r="F337" s="17">
        <v>5</v>
      </c>
      <c r="G337" s="17">
        <v>11</v>
      </c>
      <c r="H337" s="17"/>
      <c r="I337" s="17"/>
      <c r="J337" s="17" t="str">
        <f>IF(AND(H337&lt;&gt;"",I337&lt;&gt;""),H337-I337,"")</f>
        <v/>
      </c>
    </row>
    <row r="338" spans="5:10" x14ac:dyDescent="0.25">
      <c r="E338" s="17">
        <v>32</v>
      </c>
      <c r="F338" s="17">
        <v>4</v>
      </c>
      <c r="G338" s="17">
        <v>12</v>
      </c>
      <c r="H338" s="17"/>
      <c r="I338" s="17"/>
      <c r="J338" s="17" t="str">
        <f>IF(AND(H338&lt;&gt;"",I338&lt;&gt;""),H338-I338,"")</f>
        <v/>
      </c>
    </row>
    <row r="339" spans="5:10" x14ac:dyDescent="0.25">
      <c r="E339" s="17">
        <v>32</v>
      </c>
      <c r="F339" s="17">
        <v>3</v>
      </c>
      <c r="G339" s="17">
        <v>13</v>
      </c>
      <c r="H339" s="17"/>
      <c r="I339" s="17"/>
      <c r="J339" s="17" t="str">
        <f>IF(AND(H339&lt;&gt;"",I339&lt;&gt;""),H339-I339,"")</f>
        <v/>
      </c>
    </row>
    <row r="340" spans="5:10" x14ac:dyDescent="0.25">
      <c r="E340" s="17">
        <v>32</v>
      </c>
      <c r="F340" s="17">
        <v>2</v>
      </c>
      <c r="G340" s="17">
        <v>14</v>
      </c>
      <c r="H340" s="17"/>
      <c r="I340" s="17"/>
      <c r="J340" s="17" t="str">
        <f>IF(AND(H340&lt;&gt;"",I340&lt;&gt;""),H340-I340,"")</f>
        <v/>
      </c>
    </row>
    <row r="341" spans="5:10" x14ac:dyDescent="0.25">
      <c r="E341" s="17">
        <v>32</v>
      </c>
      <c r="F341" s="17">
        <v>20</v>
      </c>
      <c r="G341" s="17">
        <v>15</v>
      </c>
      <c r="H341" s="17"/>
      <c r="I341" s="17"/>
      <c r="J341" s="17" t="str">
        <f>IF(AND(H341&lt;&gt;"",I341&lt;&gt;""),H341-I341,"")</f>
        <v/>
      </c>
    </row>
    <row r="342" spans="5:10" x14ac:dyDescent="0.25">
      <c r="E342" s="17">
        <v>32</v>
      </c>
      <c r="F342" s="17">
        <v>19</v>
      </c>
      <c r="G342" s="17">
        <v>16</v>
      </c>
      <c r="H342" s="17"/>
      <c r="I342" s="17"/>
      <c r="J342" s="17" t="str">
        <f>IF(AND(H342&lt;&gt;"",I342&lt;&gt;""),H342-I342,"")</f>
        <v/>
      </c>
    </row>
    <row r="343" spans="5:10" x14ac:dyDescent="0.25">
      <c r="E343" s="17">
        <v>32</v>
      </c>
      <c r="F343" s="17">
        <v>18</v>
      </c>
      <c r="G343" s="17">
        <v>17</v>
      </c>
      <c r="H343" s="17"/>
      <c r="I343" s="17"/>
      <c r="J343" s="17" t="str">
        <f>IF(AND(H343&lt;&gt;"",I343&lt;&gt;""),H343-I343,"")</f>
        <v/>
      </c>
    </row>
    <row r="344" spans="5:10" x14ac:dyDescent="0.25">
      <c r="E344" s="16">
        <v>33</v>
      </c>
      <c r="F344" s="16">
        <v>7</v>
      </c>
      <c r="G344" s="16">
        <v>1</v>
      </c>
      <c r="H344" s="16"/>
      <c r="I344" s="16"/>
      <c r="J344" s="16" t="str">
        <f>IF(AND(H344&lt;&gt;"",I344&lt;&gt;""),H344-I344,"")</f>
        <v/>
      </c>
    </row>
    <row r="345" spans="5:10" x14ac:dyDescent="0.25">
      <c r="E345" s="16">
        <v>33</v>
      </c>
      <c r="F345" s="16">
        <v>6</v>
      </c>
      <c r="G345" s="16">
        <v>8</v>
      </c>
      <c r="H345" s="16"/>
      <c r="I345" s="16"/>
      <c r="J345" s="16" t="str">
        <f>IF(AND(H345&lt;&gt;"",I345&lt;&gt;""),H345-I345,"")</f>
        <v/>
      </c>
    </row>
    <row r="346" spans="5:10" x14ac:dyDescent="0.25">
      <c r="E346" s="16">
        <v>33</v>
      </c>
      <c r="F346" s="16">
        <v>5</v>
      </c>
      <c r="G346" s="16">
        <v>9</v>
      </c>
      <c r="H346" s="16"/>
      <c r="I346" s="16"/>
      <c r="J346" s="16" t="str">
        <f>IF(AND(H346&lt;&gt;"",I346&lt;&gt;""),H346-I346,"")</f>
        <v/>
      </c>
    </row>
    <row r="347" spans="5:10" x14ac:dyDescent="0.25">
      <c r="E347" s="16">
        <v>33</v>
      </c>
      <c r="F347" s="16">
        <v>4</v>
      </c>
      <c r="G347" s="16">
        <v>10</v>
      </c>
      <c r="H347" s="16"/>
      <c r="I347" s="16"/>
      <c r="J347" s="16" t="str">
        <f>IF(AND(H347&lt;&gt;"",I347&lt;&gt;""),H347-I347,"")</f>
        <v/>
      </c>
    </row>
    <row r="348" spans="5:10" x14ac:dyDescent="0.25">
      <c r="E348" s="16">
        <v>33</v>
      </c>
      <c r="F348" s="16">
        <v>3</v>
      </c>
      <c r="G348" s="16">
        <v>11</v>
      </c>
      <c r="H348" s="16"/>
      <c r="I348" s="16"/>
      <c r="J348" s="16" t="str">
        <f>IF(AND(H348&lt;&gt;"",I348&lt;&gt;""),H348-I348,"")</f>
        <v/>
      </c>
    </row>
    <row r="349" spans="5:10" x14ac:dyDescent="0.25">
      <c r="E349" s="16">
        <v>33</v>
      </c>
      <c r="F349" s="16">
        <v>2</v>
      </c>
      <c r="G349" s="16">
        <v>12</v>
      </c>
      <c r="H349" s="16"/>
      <c r="I349" s="16"/>
      <c r="J349" s="16" t="str">
        <f>IF(AND(H349&lt;&gt;"",I349&lt;&gt;""),H349-I349,"")</f>
        <v/>
      </c>
    </row>
    <row r="350" spans="5:10" x14ac:dyDescent="0.25">
      <c r="E350" s="16">
        <v>33</v>
      </c>
      <c r="F350" s="16">
        <v>20</v>
      </c>
      <c r="G350" s="16">
        <v>13</v>
      </c>
      <c r="H350" s="16"/>
      <c r="I350" s="16"/>
      <c r="J350" s="16" t="str">
        <f>IF(AND(H350&lt;&gt;"",I350&lt;&gt;""),H350-I350,"")</f>
        <v/>
      </c>
    </row>
    <row r="351" spans="5:10" x14ac:dyDescent="0.25">
      <c r="E351" s="16">
        <v>33</v>
      </c>
      <c r="F351" s="16">
        <v>19</v>
      </c>
      <c r="G351" s="16">
        <v>14</v>
      </c>
      <c r="H351" s="16"/>
      <c r="I351" s="16"/>
      <c r="J351" s="16" t="str">
        <f>IF(AND(H351&lt;&gt;"",I351&lt;&gt;""),H351-I351,"")</f>
        <v/>
      </c>
    </row>
    <row r="352" spans="5:10" x14ac:dyDescent="0.25">
      <c r="E352" s="16">
        <v>33</v>
      </c>
      <c r="F352" s="16">
        <v>18</v>
      </c>
      <c r="G352" s="16">
        <v>15</v>
      </c>
      <c r="H352" s="16"/>
      <c r="I352" s="16"/>
      <c r="J352" s="16" t="str">
        <f>IF(AND(H352&lt;&gt;"",I352&lt;&gt;""),H352-I352,"")</f>
        <v/>
      </c>
    </row>
    <row r="353" spans="5:10" x14ac:dyDescent="0.25">
      <c r="E353" s="16">
        <v>33</v>
      </c>
      <c r="F353" s="16">
        <v>17</v>
      </c>
      <c r="G353" s="16">
        <v>16</v>
      </c>
      <c r="H353" s="16"/>
      <c r="I353" s="16"/>
      <c r="J353" s="16" t="str">
        <f>IF(AND(H353&lt;&gt;"",I353&lt;&gt;""),H353-I353,"")</f>
        <v/>
      </c>
    </row>
    <row r="354" spans="5:10" x14ac:dyDescent="0.25">
      <c r="E354" s="17">
        <v>34</v>
      </c>
      <c r="F354" s="17">
        <v>6</v>
      </c>
      <c r="G354" s="17">
        <v>1</v>
      </c>
      <c r="H354" s="17"/>
      <c r="I354" s="17"/>
      <c r="J354" s="17" t="str">
        <f>IF(AND(H354&lt;&gt;"",I354&lt;&gt;""),H354-I354,"")</f>
        <v/>
      </c>
    </row>
    <row r="355" spans="5:10" x14ac:dyDescent="0.25">
      <c r="E355" s="17">
        <v>34</v>
      </c>
      <c r="F355" s="17">
        <v>5</v>
      </c>
      <c r="G355" s="17">
        <v>7</v>
      </c>
      <c r="H355" s="17"/>
      <c r="I355" s="17"/>
      <c r="J355" s="17" t="str">
        <f>IF(AND(H355&lt;&gt;"",I355&lt;&gt;""),H355-I355,"")</f>
        <v/>
      </c>
    </row>
    <row r="356" spans="5:10" x14ac:dyDescent="0.25">
      <c r="E356" s="17">
        <v>34</v>
      </c>
      <c r="F356" s="17">
        <v>4</v>
      </c>
      <c r="G356" s="17">
        <v>8</v>
      </c>
      <c r="H356" s="17"/>
      <c r="I356" s="17"/>
      <c r="J356" s="17" t="str">
        <f>IF(AND(H356&lt;&gt;"",I356&lt;&gt;""),H356-I356,"")</f>
        <v/>
      </c>
    </row>
    <row r="357" spans="5:10" x14ac:dyDescent="0.25">
      <c r="E357" s="17">
        <v>34</v>
      </c>
      <c r="F357" s="17">
        <v>3</v>
      </c>
      <c r="G357" s="17">
        <v>9</v>
      </c>
      <c r="H357" s="17"/>
      <c r="I357" s="17"/>
      <c r="J357" s="17" t="str">
        <f>IF(AND(H357&lt;&gt;"",I357&lt;&gt;""),H357-I357,"")</f>
        <v/>
      </c>
    </row>
    <row r="358" spans="5:10" x14ac:dyDescent="0.25">
      <c r="E358" s="17">
        <v>34</v>
      </c>
      <c r="F358" s="17">
        <v>2</v>
      </c>
      <c r="G358" s="17">
        <v>10</v>
      </c>
      <c r="H358" s="17"/>
      <c r="I358" s="17"/>
      <c r="J358" s="17" t="str">
        <f>IF(AND(H358&lt;&gt;"",I358&lt;&gt;""),H358-I358,"")</f>
        <v/>
      </c>
    </row>
    <row r="359" spans="5:10" x14ac:dyDescent="0.25">
      <c r="E359" s="17">
        <v>34</v>
      </c>
      <c r="F359" s="17">
        <v>20</v>
      </c>
      <c r="G359" s="17">
        <v>11</v>
      </c>
      <c r="H359" s="17"/>
      <c r="I359" s="17"/>
      <c r="J359" s="17" t="str">
        <f>IF(AND(H359&lt;&gt;"",I359&lt;&gt;""),H359-I359,"")</f>
        <v/>
      </c>
    </row>
    <row r="360" spans="5:10" x14ac:dyDescent="0.25">
      <c r="E360" s="17">
        <v>34</v>
      </c>
      <c r="F360" s="17">
        <v>19</v>
      </c>
      <c r="G360" s="17">
        <v>12</v>
      </c>
      <c r="H360" s="17"/>
      <c r="I360" s="17"/>
      <c r="J360" s="17" t="str">
        <f>IF(AND(H360&lt;&gt;"",I360&lt;&gt;""),H360-I360,"")</f>
        <v/>
      </c>
    </row>
    <row r="361" spans="5:10" x14ac:dyDescent="0.25">
      <c r="E361" s="17">
        <v>34</v>
      </c>
      <c r="F361" s="17">
        <v>18</v>
      </c>
      <c r="G361" s="17">
        <v>13</v>
      </c>
      <c r="H361" s="17"/>
      <c r="I361" s="17"/>
      <c r="J361" s="17" t="str">
        <f>IF(AND(H361&lt;&gt;"",I361&lt;&gt;""),H361-I361,"")</f>
        <v/>
      </c>
    </row>
    <row r="362" spans="5:10" x14ac:dyDescent="0.25">
      <c r="E362" s="17">
        <v>34</v>
      </c>
      <c r="F362" s="17">
        <v>17</v>
      </c>
      <c r="G362" s="17">
        <v>14</v>
      </c>
      <c r="H362" s="17"/>
      <c r="I362" s="17"/>
      <c r="J362" s="17" t="str">
        <f>IF(AND(H362&lt;&gt;"",I362&lt;&gt;""),H362-I362,"")</f>
        <v/>
      </c>
    </row>
    <row r="363" spans="5:10" x14ac:dyDescent="0.25">
      <c r="E363" s="17">
        <v>34</v>
      </c>
      <c r="F363" s="17">
        <v>16</v>
      </c>
      <c r="G363" s="17">
        <v>15</v>
      </c>
      <c r="H363" s="17"/>
      <c r="I363" s="17"/>
      <c r="J363" s="17" t="str">
        <f>IF(AND(H363&lt;&gt;"",I363&lt;&gt;""),H363-I363,"")</f>
        <v/>
      </c>
    </row>
    <row r="364" spans="5:10" x14ac:dyDescent="0.25">
      <c r="E364" s="16">
        <v>35</v>
      </c>
      <c r="F364" s="16">
        <v>5</v>
      </c>
      <c r="G364" s="16">
        <v>1</v>
      </c>
      <c r="H364" s="16"/>
      <c r="I364" s="16"/>
      <c r="J364" s="16" t="str">
        <f>IF(AND(H364&lt;&gt;"",I364&lt;&gt;""),H364-I364,"")</f>
        <v/>
      </c>
    </row>
    <row r="365" spans="5:10" x14ac:dyDescent="0.25">
      <c r="E365" s="16">
        <v>35</v>
      </c>
      <c r="F365" s="16">
        <v>4</v>
      </c>
      <c r="G365" s="16">
        <v>6</v>
      </c>
      <c r="H365" s="16"/>
      <c r="I365" s="16"/>
      <c r="J365" s="16" t="str">
        <f>IF(AND(H365&lt;&gt;"",I365&lt;&gt;""),H365-I365,"")</f>
        <v/>
      </c>
    </row>
    <row r="366" spans="5:10" x14ac:dyDescent="0.25">
      <c r="E366" s="16">
        <v>35</v>
      </c>
      <c r="F366" s="16">
        <v>3</v>
      </c>
      <c r="G366" s="16">
        <v>7</v>
      </c>
      <c r="H366" s="16"/>
      <c r="I366" s="16"/>
      <c r="J366" s="16" t="str">
        <f>IF(AND(H366&lt;&gt;"",I366&lt;&gt;""),H366-I366,"")</f>
        <v/>
      </c>
    </row>
    <row r="367" spans="5:10" x14ac:dyDescent="0.25">
      <c r="E367" s="16">
        <v>35</v>
      </c>
      <c r="F367" s="16">
        <v>2</v>
      </c>
      <c r="G367" s="16">
        <v>8</v>
      </c>
      <c r="H367" s="16"/>
      <c r="I367" s="16"/>
      <c r="J367" s="16" t="str">
        <f>IF(AND(H367&lt;&gt;"",I367&lt;&gt;""),H367-I367,"")</f>
        <v/>
      </c>
    </row>
    <row r="368" spans="5:10" x14ac:dyDescent="0.25">
      <c r="E368" s="16">
        <v>35</v>
      </c>
      <c r="F368" s="16">
        <v>20</v>
      </c>
      <c r="G368" s="16">
        <v>9</v>
      </c>
      <c r="H368" s="16"/>
      <c r="I368" s="16"/>
      <c r="J368" s="16" t="str">
        <f>IF(AND(H368&lt;&gt;"",I368&lt;&gt;""),H368-I368,"")</f>
        <v/>
      </c>
    </row>
    <row r="369" spans="5:10" x14ac:dyDescent="0.25">
      <c r="E369" s="16">
        <v>35</v>
      </c>
      <c r="F369" s="16">
        <v>19</v>
      </c>
      <c r="G369" s="16">
        <v>10</v>
      </c>
      <c r="H369" s="16"/>
      <c r="I369" s="16"/>
      <c r="J369" s="16" t="str">
        <f>IF(AND(H369&lt;&gt;"",I369&lt;&gt;""),H369-I369,"")</f>
        <v/>
      </c>
    </row>
    <row r="370" spans="5:10" x14ac:dyDescent="0.25">
      <c r="E370" s="16">
        <v>35</v>
      </c>
      <c r="F370" s="16">
        <v>18</v>
      </c>
      <c r="G370" s="16">
        <v>11</v>
      </c>
      <c r="H370" s="16"/>
      <c r="I370" s="16"/>
      <c r="J370" s="16" t="str">
        <f>IF(AND(H370&lt;&gt;"",I370&lt;&gt;""),H370-I370,"")</f>
        <v/>
      </c>
    </row>
    <row r="371" spans="5:10" x14ac:dyDescent="0.25">
      <c r="E371" s="16">
        <v>35</v>
      </c>
      <c r="F371" s="16">
        <v>17</v>
      </c>
      <c r="G371" s="16">
        <v>12</v>
      </c>
      <c r="H371" s="16"/>
      <c r="I371" s="16"/>
      <c r="J371" s="16" t="str">
        <f>IF(AND(H371&lt;&gt;"",I371&lt;&gt;""),H371-I371,"")</f>
        <v/>
      </c>
    </row>
    <row r="372" spans="5:10" x14ac:dyDescent="0.25">
      <c r="E372" s="16">
        <v>35</v>
      </c>
      <c r="F372" s="16">
        <v>16</v>
      </c>
      <c r="G372" s="16">
        <v>13</v>
      </c>
      <c r="H372" s="16"/>
      <c r="I372" s="16"/>
      <c r="J372" s="16" t="str">
        <f>IF(AND(H372&lt;&gt;"",I372&lt;&gt;""),H372-I372,"")</f>
        <v/>
      </c>
    </row>
    <row r="373" spans="5:10" x14ac:dyDescent="0.25">
      <c r="E373" s="16">
        <v>35</v>
      </c>
      <c r="F373" s="16">
        <v>15</v>
      </c>
      <c r="G373" s="16">
        <v>14</v>
      </c>
      <c r="H373" s="16"/>
      <c r="I373" s="16"/>
      <c r="J373" s="16" t="str">
        <f>IF(AND(H373&lt;&gt;"",I373&lt;&gt;""),H373-I373,"")</f>
        <v/>
      </c>
    </row>
    <row r="374" spans="5:10" x14ac:dyDescent="0.25">
      <c r="E374" s="17">
        <v>36</v>
      </c>
      <c r="F374" s="17">
        <v>4</v>
      </c>
      <c r="G374" s="17">
        <v>1</v>
      </c>
      <c r="H374" s="17"/>
      <c r="I374" s="17"/>
      <c r="J374" s="17" t="str">
        <f>IF(AND(H374&lt;&gt;"",I374&lt;&gt;""),H374-I374,"")</f>
        <v/>
      </c>
    </row>
    <row r="375" spans="5:10" x14ac:dyDescent="0.25">
      <c r="E375" s="17">
        <v>36</v>
      </c>
      <c r="F375" s="17">
        <v>3</v>
      </c>
      <c r="G375" s="17">
        <v>5</v>
      </c>
      <c r="H375" s="17"/>
      <c r="I375" s="17"/>
      <c r="J375" s="17" t="str">
        <f>IF(AND(H375&lt;&gt;"",I375&lt;&gt;""),H375-I375,"")</f>
        <v/>
      </c>
    </row>
    <row r="376" spans="5:10" x14ac:dyDescent="0.25">
      <c r="E376" s="17">
        <v>36</v>
      </c>
      <c r="F376" s="17">
        <v>2</v>
      </c>
      <c r="G376" s="17">
        <v>6</v>
      </c>
      <c r="H376" s="17"/>
      <c r="I376" s="17"/>
      <c r="J376" s="17" t="str">
        <f>IF(AND(H376&lt;&gt;"",I376&lt;&gt;""),H376-I376,"")</f>
        <v/>
      </c>
    </row>
    <row r="377" spans="5:10" x14ac:dyDescent="0.25">
      <c r="E377" s="17">
        <v>36</v>
      </c>
      <c r="F377" s="17">
        <v>20</v>
      </c>
      <c r="G377" s="17">
        <v>7</v>
      </c>
      <c r="H377" s="17"/>
      <c r="I377" s="17"/>
      <c r="J377" s="17" t="str">
        <f>IF(AND(H377&lt;&gt;"",I377&lt;&gt;""),H377-I377,"")</f>
        <v/>
      </c>
    </row>
    <row r="378" spans="5:10" x14ac:dyDescent="0.25">
      <c r="E378" s="17">
        <v>36</v>
      </c>
      <c r="F378" s="17">
        <v>19</v>
      </c>
      <c r="G378" s="17">
        <v>8</v>
      </c>
      <c r="H378" s="17"/>
      <c r="I378" s="17"/>
      <c r="J378" s="17" t="str">
        <f>IF(AND(H378&lt;&gt;"",I378&lt;&gt;""),H378-I378,"")</f>
        <v/>
      </c>
    </row>
    <row r="379" spans="5:10" x14ac:dyDescent="0.25">
      <c r="E379" s="17">
        <v>36</v>
      </c>
      <c r="F379" s="17">
        <v>18</v>
      </c>
      <c r="G379" s="17">
        <v>9</v>
      </c>
      <c r="H379" s="17"/>
      <c r="I379" s="17"/>
      <c r="J379" s="17" t="str">
        <f>IF(AND(H379&lt;&gt;"",I379&lt;&gt;""),H379-I379,"")</f>
        <v/>
      </c>
    </row>
    <row r="380" spans="5:10" x14ac:dyDescent="0.25">
      <c r="E380" s="17">
        <v>36</v>
      </c>
      <c r="F380" s="17">
        <v>17</v>
      </c>
      <c r="G380" s="17">
        <v>10</v>
      </c>
      <c r="H380" s="17"/>
      <c r="I380" s="17"/>
      <c r="J380" s="17" t="str">
        <f>IF(AND(H380&lt;&gt;"",I380&lt;&gt;""),H380-I380,"")</f>
        <v/>
      </c>
    </row>
    <row r="381" spans="5:10" x14ac:dyDescent="0.25">
      <c r="E381" s="17">
        <v>36</v>
      </c>
      <c r="F381" s="17">
        <v>16</v>
      </c>
      <c r="G381" s="17">
        <v>11</v>
      </c>
      <c r="H381" s="17"/>
      <c r="I381" s="17"/>
      <c r="J381" s="17" t="str">
        <f>IF(AND(H381&lt;&gt;"",I381&lt;&gt;""),H381-I381,"")</f>
        <v/>
      </c>
    </row>
    <row r="382" spans="5:10" x14ac:dyDescent="0.25">
      <c r="E382" s="17">
        <v>36</v>
      </c>
      <c r="F382" s="17">
        <v>15</v>
      </c>
      <c r="G382" s="17">
        <v>12</v>
      </c>
      <c r="H382" s="17"/>
      <c r="I382" s="17"/>
      <c r="J382" s="17" t="str">
        <f>IF(AND(H382&lt;&gt;"",I382&lt;&gt;""),H382-I382,"")</f>
        <v/>
      </c>
    </row>
    <row r="383" spans="5:10" x14ac:dyDescent="0.25">
      <c r="E383" s="17">
        <v>36</v>
      </c>
      <c r="F383" s="17">
        <v>14</v>
      </c>
      <c r="G383" s="17">
        <v>13</v>
      </c>
      <c r="H383" s="17"/>
      <c r="I383" s="17"/>
      <c r="J383" s="17" t="str">
        <f>IF(AND(H383&lt;&gt;"",I383&lt;&gt;""),H383-I383,"")</f>
        <v/>
      </c>
    </row>
    <row r="384" spans="5:10" x14ac:dyDescent="0.25">
      <c r="E384" s="16">
        <v>37</v>
      </c>
      <c r="F384" s="16">
        <v>3</v>
      </c>
      <c r="G384" s="16">
        <v>1</v>
      </c>
      <c r="H384" s="16"/>
      <c r="I384" s="16"/>
      <c r="J384" s="16" t="str">
        <f>IF(AND(H384&lt;&gt;"",I384&lt;&gt;""),H384-I384,"")</f>
        <v/>
      </c>
    </row>
    <row r="385" spans="5:10" x14ac:dyDescent="0.25">
      <c r="E385" s="16">
        <v>37</v>
      </c>
      <c r="F385" s="16">
        <v>2</v>
      </c>
      <c r="G385" s="16">
        <v>4</v>
      </c>
      <c r="H385" s="16"/>
      <c r="I385" s="16"/>
      <c r="J385" s="16" t="str">
        <f>IF(AND(H385&lt;&gt;"",I385&lt;&gt;""),H385-I385,"")</f>
        <v/>
      </c>
    </row>
    <row r="386" spans="5:10" x14ac:dyDescent="0.25">
      <c r="E386" s="16">
        <v>37</v>
      </c>
      <c r="F386" s="16">
        <v>20</v>
      </c>
      <c r="G386" s="16">
        <v>5</v>
      </c>
      <c r="H386" s="16"/>
      <c r="I386" s="16"/>
      <c r="J386" s="16" t="str">
        <f>IF(AND(H386&lt;&gt;"",I386&lt;&gt;""),H386-I386,"")</f>
        <v/>
      </c>
    </row>
    <row r="387" spans="5:10" x14ac:dyDescent="0.25">
      <c r="E387" s="16">
        <v>37</v>
      </c>
      <c r="F387" s="16">
        <v>19</v>
      </c>
      <c r="G387" s="16">
        <v>6</v>
      </c>
      <c r="H387" s="16"/>
      <c r="I387" s="16"/>
      <c r="J387" s="16" t="str">
        <f>IF(AND(H387&lt;&gt;"",I387&lt;&gt;""),H387-I387,"")</f>
        <v/>
      </c>
    </row>
    <row r="388" spans="5:10" x14ac:dyDescent="0.25">
      <c r="E388" s="16">
        <v>37</v>
      </c>
      <c r="F388" s="16">
        <v>18</v>
      </c>
      <c r="G388" s="16">
        <v>7</v>
      </c>
      <c r="H388" s="16"/>
      <c r="I388" s="16"/>
      <c r="J388" s="16" t="str">
        <f>IF(AND(H388&lt;&gt;"",I388&lt;&gt;""),H388-I388,"")</f>
        <v/>
      </c>
    </row>
    <row r="389" spans="5:10" x14ac:dyDescent="0.25">
      <c r="E389" s="16">
        <v>37</v>
      </c>
      <c r="F389" s="16">
        <v>17</v>
      </c>
      <c r="G389" s="16">
        <v>8</v>
      </c>
      <c r="H389" s="16"/>
      <c r="I389" s="16"/>
      <c r="J389" s="16" t="str">
        <f>IF(AND(H389&lt;&gt;"",I389&lt;&gt;""),H389-I389,"")</f>
        <v/>
      </c>
    </row>
    <row r="390" spans="5:10" x14ac:dyDescent="0.25">
      <c r="E390" s="16">
        <v>37</v>
      </c>
      <c r="F390" s="16">
        <v>16</v>
      </c>
      <c r="G390" s="16">
        <v>9</v>
      </c>
      <c r="H390" s="16"/>
      <c r="I390" s="16"/>
      <c r="J390" s="16" t="str">
        <f>IF(AND(H390&lt;&gt;"",I390&lt;&gt;""),H390-I390,"")</f>
        <v/>
      </c>
    </row>
    <row r="391" spans="5:10" x14ac:dyDescent="0.25">
      <c r="E391" s="16">
        <v>37</v>
      </c>
      <c r="F391" s="16">
        <v>15</v>
      </c>
      <c r="G391" s="16">
        <v>10</v>
      </c>
      <c r="H391" s="16"/>
      <c r="I391" s="16"/>
      <c r="J391" s="16" t="str">
        <f>IF(AND(H391&lt;&gt;"",I391&lt;&gt;""),H391-I391,"")</f>
        <v/>
      </c>
    </row>
    <row r="392" spans="5:10" x14ac:dyDescent="0.25">
      <c r="E392" s="16">
        <v>37</v>
      </c>
      <c r="F392" s="16">
        <v>14</v>
      </c>
      <c r="G392" s="16">
        <v>11</v>
      </c>
      <c r="H392" s="16"/>
      <c r="I392" s="16"/>
      <c r="J392" s="16" t="str">
        <f>IF(AND(H392&lt;&gt;"",I392&lt;&gt;""),H392-I392,"")</f>
        <v/>
      </c>
    </row>
    <row r="393" spans="5:10" x14ac:dyDescent="0.25">
      <c r="E393" s="16">
        <v>37</v>
      </c>
      <c r="F393" s="16">
        <v>13</v>
      </c>
      <c r="G393" s="16">
        <v>12</v>
      </c>
      <c r="H393" s="16"/>
      <c r="I393" s="16"/>
      <c r="J393" s="16" t="str">
        <f>IF(AND(H393&lt;&gt;"",I393&lt;&gt;""),H393-I393,"")</f>
        <v/>
      </c>
    </row>
    <row r="394" spans="5:10" x14ac:dyDescent="0.25">
      <c r="E394" s="17">
        <v>38</v>
      </c>
      <c r="F394" s="17">
        <v>2</v>
      </c>
      <c r="G394" s="17">
        <v>1</v>
      </c>
      <c r="H394" s="17"/>
      <c r="I394" s="17"/>
      <c r="J394" s="17" t="str">
        <f>IF(AND(H394&lt;&gt;"",I394&lt;&gt;""),H394-I394,"")</f>
        <v/>
      </c>
    </row>
    <row r="395" spans="5:10" x14ac:dyDescent="0.25">
      <c r="E395" s="17">
        <v>38</v>
      </c>
      <c r="F395" s="17">
        <v>20</v>
      </c>
      <c r="G395" s="17">
        <v>3</v>
      </c>
      <c r="H395" s="17"/>
      <c r="I395" s="17"/>
      <c r="J395" s="17" t="str">
        <f>IF(AND(H395&lt;&gt;"",I395&lt;&gt;""),H395-I395,"")</f>
        <v/>
      </c>
    </row>
    <row r="396" spans="5:10" x14ac:dyDescent="0.25">
      <c r="E396" s="17">
        <v>38</v>
      </c>
      <c r="F396" s="17">
        <v>19</v>
      </c>
      <c r="G396" s="17">
        <v>4</v>
      </c>
      <c r="H396" s="17"/>
      <c r="I396" s="17"/>
      <c r="J396" s="17" t="str">
        <f>IF(AND(H396&lt;&gt;"",I396&lt;&gt;""),H396-I396,"")</f>
        <v/>
      </c>
    </row>
    <row r="397" spans="5:10" x14ac:dyDescent="0.25">
      <c r="E397" s="17">
        <v>38</v>
      </c>
      <c r="F397" s="17">
        <v>18</v>
      </c>
      <c r="G397" s="17">
        <v>5</v>
      </c>
      <c r="H397" s="17"/>
      <c r="I397" s="17"/>
      <c r="J397" s="17" t="str">
        <f>IF(AND(H397&lt;&gt;"",I397&lt;&gt;""),H397-I397,"")</f>
        <v/>
      </c>
    </row>
    <row r="398" spans="5:10" x14ac:dyDescent="0.25">
      <c r="E398" s="17">
        <v>38</v>
      </c>
      <c r="F398" s="17">
        <v>17</v>
      </c>
      <c r="G398" s="17">
        <v>6</v>
      </c>
      <c r="H398" s="17"/>
      <c r="I398" s="17"/>
      <c r="J398" s="17" t="str">
        <f>IF(AND(H398&lt;&gt;"",I398&lt;&gt;""),H398-I398,"")</f>
        <v/>
      </c>
    </row>
    <row r="399" spans="5:10" x14ac:dyDescent="0.25">
      <c r="E399" s="17">
        <v>38</v>
      </c>
      <c r="F399" s="17">
        <v>16</v>
      </c>
      <c r="G399" s="17">
        <v>7</v>
      </c>
      <c r="H399" s="17"/>
      <c r="I399" s="17"/>
      <c r="J399" s="17" t="str">
        <f>IF(AND(H399&lt;&gt;"",I399&lt;&gt;""),H399-I399,"")</f>
        <v/>
      </c>
    </row>
    <row r="400" spans="5:10" x14ac:dyDescent="0.25">
      <c r="E400" s="17">
        <v>38</v>
      </c>
      <c r="F400" s="17">
        <v>15</v>
      </c>
      <c r="G400" s="17">
        <v>8</v>
      </c>
      <c r="H400" s="17"/>
      <c r="I400" s="17"/>
      <c r="J400" s="17" t="str">
        <f>IF(AND(H400&lt;&gt;"",I400&lt;&gt;""),H400-I400,"")</f>
        <v/>
      </c>
    </row>
    <row r="401" spans="5:10" x14ac:dyDescent="0.25">
      <c r="E401" s="17">
        <v>38</v>
      </c>
      <c r="F401" s="17">
        <v>14</v>
      </c>
      <c r="G401" s="17">
        <v>9</v>
      </c>
      <c r="H401" s="17"/>
      <c r="I401" s="17"/>
      <c r="J401" s="17" t="str">
        <f>IF(AND(H401&lt;&gt;"",I401&lt;&gt;""),H401-I401,"")</f>
        <v/>
      </c>
    </row>
    <row r="402" spans="5:10" x14ac:dyDescent="0.25">
      <c r="E402" s="17">
        <v>38</v>
      </c>
      <c r="F402" s="17">
        <v>13</v>
      </c>
      <c r="G402" s="17">
        <v>10</v>
      </c>
      <c r="H402" s="17"/>
      <c r="I402" s="17"/>
      <c r="J402" s="17" t="str">
        <f>IF(AND(H402&lt;&gt;"",I402&lt;&gt;""),H402-I402,"")</f>
        <v/>
      </c>
    </row>
    <row r="403" spans="5:10" x14ac:dyDescent="0.25">
      <c r="E403" s="17">
        <v>38</v>
      </c>
      <c r="F403" s="17">
        <v>12</v>
      </c>
      <c r="G403" s="17">
        <v>11</v>
      </c>
      <c r="H403" s="17"/>
      <c r="I403" s="17"/>
      <c r="J403" s="17" t="str">
        <f>IF(AND(H403&lt;&gt;"",I403&lt;&gt;""),H403-I403,"")</f>
        <v/>
      </c>
    </row>
  </sheetData>
  <sortState xmlns:xlrd2="http://schemas.microsoft.com/office/spreadsheetml/2017/richdata2" ref="A2:C21">
    <sortCondition ref="A2:A2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0E69B-29D6-47B4-92CA-108C63D6A143}">
  <sheetPr codeName="Planilha5"/>
  <dimension ref="A1:R27"/>
  <sheetViews>
    <sheetView showGridLines="0" showRowColHeaders="0" tabSelected="1" zoomScaleNormal="100" workbookViewId="0">
      <selection activeCell="O17" sqref="O17"/>
    </sheetView>
  </sheetViews>
  <sheetFormatPr defaultColWidth="9.140625" defaultRowHeight="23.1" customHeight="1" x14ac:dyDescent="0.25"/>
  <cols>
    <col min="1" max="1" width="9.7109375" style="21" customWidth="1"/>
    <col min="2" max="2" width="19" style="24" customWidth="1"/>
    <col min="3" max="10" width="6.28515625" style="21" customWidth="1"/>
    <col min="11" max="11" width="7.140625" style="21" bestFit="1" customWidth="1"/>
    <col min="12" max="12" width="1.85546875" style="21" customWidth="1"/>
    <col min="13" max="13" width="4.7109375" style="21" customWidth="1"/>
    <col min="14" max="14" width="15.7109375" style="21" bestFit="1" customWidth="1"/>
    <col min="15" max="17" width="6.7109375" style="21" customWidth="1"/>
    <col min="18" max="18" width="16.5703125" style="21" customWidth="1"/>
    <col min="19" max="22" width="9.140625" style="21" customWidth="1"/>
    <col min="23" max="16384" width="9.140625" style="21"/>
  </cols>
  <sheetData>
    <row r="1" spans="1:18" ht="41.1" customHeight="1" thickBot="1" x14ac:dyDescent="0.45">
      <c r="A1" s="25" t="s">
        <v>22</v>
      </c>
      <c r="B1" s="19"/>
      <c r="C1" s="2"/>
      <c r="D1" s="2"/>
      <c r="E1" s="2"/>
      <c r="F1" s="2"/>
      <c r="G1" s="2"/>
      <c r="H1" s="2"/>
      <c r="I1" s="2"/>
      <c r="J1" s="2"/>
      <c r="K1" s="2"/>
      <c r="L1" s="3"/>
      <c r="M1" s="22"/>
      <c r="N1" s="8" t="s">
        <v>14</v>
      </c>
      <c r="O1" s="9"/>
      <c r="P1" s="9"/>
      <c r="Q1" s="9"/>
      <c r="R1" s="9"/>
    </row>
    <row r="2" spans="1:18" s="23" customFormat="1" ht="30" customHeight="1" thickBot="1" x14ac:dyDescent="0.3">
      <c r="A2" s="20" t="s">
        <v>11</v>
      </c>
      <c r="B2" s="13"/>
      <c r="C2" s="13" t="s">
        <v>3</v>
      </c>
      <c r="D2" s="13" t="s">
        <v>2</v>
      </c>
      <c r="E2" s="13" t="s">
        <v>7</v>
      </c>
      <c r="F2" s="13" t="s">
        <v>1</v>
      </c>
      <c r="G2" s="13" t="s">
        <v>0</v>
      </c>
      <c r="H2" s="13" t="s">
        <v>8</v>
      </c>
      <c r="I2" s="13" t="s">
        <v>9</v>
      </c>
      <c r="J2" s="13" t="s">
        <v>12</v>
      </c>
      <c r="K2" s="13" t="s">
        <v>13</v>
      </c>
      <c r="L2" s="5"/>
      <c r="N2" s="2"/>
      <c r="O2" s="10">
        <v>1</v>
      </c>
      <c r="P2" s="11" t="s">
        <v>15</v>
      </c>
      <c r="Q2" s="4"/>
      <c r="R2" s="2"/>
    </row>
    <row r="3" spans="1:18" ht="23.1" customHeight="1" thickBot="1" x14ac:dyDescent="0.3">
      <c r="A3" s="18">
        <v>1</v>
      </c>
      <c r="B3" s="20" t="str">
        <f>Configuracoes!E20</f>
        <v>TIME 1</v>
      </c>
      <c r="C3" s="6">
        <f>E3*3+F3</f>
        <v>0</v>
      </c>
      <c r="D3" s="4">
        <f>Configuracoes!F20+Configuracoes!G20+Configuracoes!H20</f>
        <v>0</v>
      </c>
      <c r="E3" s="6">
        <f>Configuracoes!F20</f>
        <v>0</v>
      </c>
      <c r="F3" s="4">
        <f>Configuracoes!G20</f>
        <v>0</v>
      </c>
      <c r="G3" s="6">
        <f>Configuracoes!H20</f>
        <v>0</v>
      </c>
      <c r="H3" s="4">
        <f>Configuracoes!I20</f>
        <v>0</v>
      </c>
      <c r="I3" s="6">
        <f>Configuracoes!J20</f>
        <v>0</v>
      </c>
      <c r="J3" s="4">
        <f>H3-I3</f>
        <v>0</v>
      </c>
      <c r="K3" s="7" t="str">
        <f>IF(AND(D3&lt;&gt;"",D3&lt;&gt;0),C3/(D3*3),"")</f>
        <v/>
      </c>
      <c r="L3" s="5"/>
      <c r="N3" s="4" t="s">
        <v>28</v>
      </c>
      <c r="O3" s="12"/>
      <c r="P3" s="13" t="s">
        <v>16</v>
      </c>
      <c r="Q3" s="12"/>
      <c r="R3" s="4" t="s">
        <v>30</v>
      </c>
    </row>
    <row r="4" spans="1:18" ht="23.1" customHeight="1" thickBot="1" x14ac:dyDescent="0.3">
      <c r="A4" s="18">
        <v>2</v>
      </c>
      <c r="B4" s="20" t="str">
        <f>Configuracoes!E21</f>
        <v>TIME 10</v>
      </c>
      <c r="C4" s="6">
        <f>E4*3+F4</f>
        <v>0</v>
      </c>
      <c r="D4" s="4">
        <f>Configuracoes!F21+Configuracoes!G21+Configuracoes!H21</f>
        <v>0</v>
      </c>
      <c r="E4" s="6">
        <f>Configuracoes!F21</f>
        <v>0</v>
      </c>
      <c r="F4" s="4">
        <f>Configuracoes!G21</f>
        <v>0</v>
      </c>
      <c r="G4" s="6">
        <f>Configuracoes!H21</f>
        <v>0</v>
      </c>
      <c r="H4" s="4">
        <f>Configuracoes!I21</f>
        <v>0</v>
      </c>
      <c r="I4" s="6">
        <f>Configuracoes!J21</f>
        <v>0</v>
      </c>
      <c r="J4" s="4">
        <f>H4-I4</f>
        <v>0</v>
      </c>
      <c r="K4" s="7" t="str">
        <f>IF(AND(D4&lt;&gt;"",D4&lt;&gt;0),C4/(D4*3),"")</f>
        <v/>
      </c>
      <c r="L4" s="5"/>
      <c r="N4" s="4" t="s">
        <v>4</v>
      </c>
      <c r="O4" s="12"/>
      <c r="P4" s="13" t="s">
        <v>16</v>
      </c>
      <c r="Q4" s="12"/>
      <c r="R4" s="4" t="s">
        <v>26</v>
      </c>
    </row>
    <row r="5" spans="1:18" ht="23.1" customHeight="1" thickBot="1" x14ac:dyDescent="0.3">
      <c r="A5" s="18">
        <v>3</v>
      </c>
      <c r="B5" s="20" t="str">
        <f>Configuracoes!E18</f>
        <v>TIME 11</v>
      </c>
      <c r="C5" s="6">
        <f>E5*3+F5</f>
        <v>0</v>
      </c>
      <c r="D5" s="4">
        <f>Configuracoes!F18+Configuracoes!G18+Configuracoes!H18</f>
        <v>0</v>
      </c>
      <c r="E5" s="6">
        <f>Configuracoes!F18</f>
        <v>0</v>
      </c>
      <c r="F5" s="4">
        <f>Configuracoes!G18</f>
        <v>0</v>
      </c>
      <c r="G5" s="6">
        <f>Configuracoes!H18</f>
        <v>0</v>
      </c>
      <c r="H5" s="4">
        <f>Configuracoes!I18</f>
        <v>0</v>
      </c>
      <c r="I5" s="6">
        <f>Configuracoes!J18</f>
        <v>0</v>
      </c>
      <c r="J5" s="4">
        <f>H5-I5</f>
        <v>0</v>
      </c>
      <c r="K5" s="7" t="str">
        <f>IF(AND(D5&lt;&gt;"",D5&lt;&gt;0),C5/(D5*3),"")</f>
        <v/>
      </c>
      <c r="L5" s="5"/>
      <c r="N5" s="4" t="s">
        <v>40</v>
      </c>
      <c r="O5" s="12"/>
      <c r="P5" s="13" t="s">
        <v>16</v>
      </c>
      <c r="Q5" s="12"/>
      <c r="R5" s="4" t="s">
        <v>38</v>
      </c>
    </row>
    <row r="6" spans="1:18" ht="23.1" customHeight="1" thickBot="1" x14ac:dyDescent="0.3">
      <c r="A6" s="18">
        <v>4</v>
      </c>
      <c r="B6" s="20" t="str">
        <f>Configuracoes!E16</f>
        <v>TIME 12</v>
      </c>
      <c r="C6" s="6">
        <f>E6*3+F6</f>
        <v>0</v>
      </c>
      <c r="D6" s="4">
        <f>Configuracoes!F16+Configuracoes!G16+Configuracoes!H16</f>
        <v>0</v>
      </c>
      <c r="E6" s="6">
        <f>Configuracoes!F16</f>
        <v>0</v>
      </c>
      <c r="F6" s="4">
        <f>Configuracoes!G16</f>
        <v>0</v>
      </c>
      <c r="G6" s="6">
        <f>Configuracoes!H16</f>
        <v>0</v>
      </c>
      <c r="H6" s="4">
        <f>Configuracoes!I16</f>
        <v>0</v>
      </c>
      <c r="I6" s="6">
        <f>Configuracoes!J16</f>
        <v>0</v>
      </c>
      <c r="J6" s="4">
        <f>H6-I6</f>
        <v>0</v>
      </c>
      <c r="K6" s="7" t="str">
        <f>IF(AND(D6&lt;&gt;"",D6&lt;&gt;0),C6/(D6*3),"")</f>
        <v/>
      </c>
      <c r="L6" s="5"/>
      <c r="N6" s="4" t="s">
        <v>29</v>
      </c>
      <c r="O6" s="12"/>
      <c r="P6" s="13" t="s">
        <v>16</v>
      </c>
      <c r="Q6" s="12"/>
      <c r="R6" s="4" t="s">
        <v>31</v>
      </c>
    </row>
    <row r="7" spans="1:18" ht="23.1" customHeight="1" thickBot="1" x14ac:dyDescent="0.3">
      <c r="A7" s="18">
        <v>5</v>
      </c>
      <c r="B7" s="20" t="str">
        <f>Configuracoes!E10</f>
        <v>TIME 13</v>
      </c>
      <c r="C7" s="6">
        <f>E7*3+F7</f>
        <v>0</v>
      </c>
      <c r="D7" s="4">
        <f>Configuracoes!F10+Configuracoes!G10+Configuracoes!H10</f>
        <v>0</v>
      </c>
      <c r="E7" s="6">
        <f>Configuracoes!F10</f>
        <v>0</v>
      </c>
      <c r="F7" s="4">
        <f>Configuracoes!G10</f>
        <v>0</v>
      </c>
      <c r="G7" s="6">
        <f>Configuracoes!H10</f>
        <v>0</v>
      </c>
      <c r="H7" s="4">
        <f>Configuracoes!I10</f>
        <v>0</v>
      </c>
      <c r="I7" s="6">
        <f>Configuracoes!J10</f>
        <v>0</v>
      </c>
      <c r="J7" s="4">
        <f>H7-I7</f>
        <v>0</v>
      </c>
      <c r="K7" s="7" t="str">
        <f>IF(AND(D7&lt;&gt;"",D7&lt;&gt;0),C7/(D7*3),"")</f>
        <v/>
      </c>
      <c r="L7" s="5"/>
      <c r="N7" s="4" t="s">
        <v>25</v>
      </c>
      <c r="O7" s="12"/>
      <c r="P7" s="13" t="s">
        <v>16</v>
      </c>
      <c r="Q7" s="12"/>
      <c r="R7" s="4" t="s">
        <v>27</v>
      </c>
    </row>
    <row r="8" spans="1:18" ht="23.1" customHeight="1" thickBot="1" x14ac:dyDescent="0.3">
      <c r="A8" s="18">
        <v>6</v>
      </c>
      <c r="B8" s="20" t="str">
        <f>Configuracoes!E8</f>
        <v>TIME 14</v>
      </c>
      <c r="C8" s="6">
        <f>E8*3+F8</f>
        <v>0</v>
      </c>
      <c r="D8" s="4">
        <f>Configuracoes!F8+Configuracoes!G8+Configuracoes!H8</f>
        <v>0</v>
      </c>
      <c r="E8" s="6">
        <f>Configuracoes!F8</f>
        <v>0</v>
      </c>
      <c r="F8" s="4">
        <f>Configuracoes!G8</f>
        <v>0</v>
      </c>
      <c r="G8" s="6">
        <f>Configuracoes!H8</f>
        <v>0</v>
      </c>
      <c r="H8" s="4">
        <f>Configuracoes!I8</f>
        <v>0</v>
      </c>
      <c r="I8" s="6">
        <f>Configuracoes!J8</f>
        <v>0</v>
      </c>
      <c r="J8" s="4">
        <f>H8-I8</f>
        <v>0</v>
      </c>
      <c r="K8" s="7" t="str">
        <f>IF(AND(D8&lt;&gt;"",D8&lt;&gt;0),C8/(D8*3),"")</f>
        <v/>
      </c>
      <c r="L8" s="5"/>
      <c r="N8" s="4" t="s">
        <v>5</v>
      </c>
      <c r="O8" s="12"/>
      <c r="P8" s="13" t="s">
        <v>16</v>
      </c>
      <c r="Q8" s="12"/>
      <c r="R8" s="4" t="s">
        <v>32</v>
      </c>
    </row>
    <row r="9" spans="1:18" ht="23.1" customHeight="1" thickBot="1" x14ac:dyDescent="0.3">
      <c r="A9" s="18">
        <v>7</v>
      </c>
      <c r="B9" s="20" t="str">
        <f>Configuracoes!E11</f>
        <v>TIME 15</v>
      </c>
      <c r="C9" s="6">
        <f>E9*3+F9</f>
        <v>0</v>
      </c>
      <c r="D9" s="4">
        <f>Configuracoes!F11+Configuracoes!G11+Configuracoes!H11</f>
        <v>0</v>
      </c>
      <c r="E9" s="6">
        <f>Configuracoes!F11</f>
        <v>0</v>
      </c>
      <c r="F9" s="4">
        <f>Configuracoes!G11</f>
        <v>0</v>
      </c>
      <c r="G9" s="6">
        <f>Configuracoes!H11</f>
        <v>0</v>
      </c>
      <c r="H9" s="4">
        <f>Configuracoes!I11</f>
        <v>0</v>
      </c>
      <c r="I9" s="6">
        <f>Configuracoes!J11</f>
        <v>0</v>
      </c>
      <c r="J9" s="4">
        <f>H9-I9</f>
        <v>0</v>
      </c>
      <c r="K9" s="7" t="str">
        <f>IF(AND(D9&lt;&gt;"",D9&lt;&gt;0),C9/(D9*3),"")</f>
        <v/>
      </c>
      <c r="L9" s="5"/>
      <c r="N9" s="4" t="s">
        <v>34</v>
      </c>
      <c r="O9" s="12"/>
      <c r="P9" s="13" t="s">
        <v>16</v>
      </c>
      <c r="Q9" s="12"/>
      <c r="R9" s="4" t="s">
        <v>23</v>
      </c>
    </row>
    <row r="10" spans="1:18" ht="23.1" customHeight="1" thickBot="1" x14ac:dyDescent="0.3">
      <c r="A10" s="18">
        <v>8</v>
      </c>
      <c r="B10" s="20" t="str">
        <f>Configuracoes!E12</f>
        <v>TIME 16</v>
      </c>
      <c r="C10" s="6">
        <f>E10*3+F10</f>
        <v>0</v>
      </c>
      <c r="D10" s="4">
        <f>Configuracoes!F12+Configuracoes!G12+Configuracoes!H12</f>
        <v>0</v>
      </c>
      <c r="E10" s="6">
        <f>Configuracoes!F12</f>
        <v>0</v>
      </c>
      <c r="F10" s="4">
        <f>Configuracoes!G12</f>
        <v>0</v>
      </c>
      <c r="G10" s="6">
        <f>Configuracoes!H12</f>
        <v>0</v>
      </c>
      <c r="H10" s="4">
        <f>Configuracoes!I12</f>
        <v>0</v>
      </c>
      <c r="I10" s="6">
        <f>Configuracoes!J12</f>
        <v>0</v>
      </c>
      <c r="J10" s="4">
        <f>H10-I10</f>
        <v>0</v>
      </c>
      <c r="K10" s="7" t="str">
        <f>IF(AND(D10&lt;&gt;"",D10&lt;&gt;0),C10/(D10*3),"")</f>
        <v/>
      </c>
      <c r="L10" s="5"/>
      <c r="N10" s="4" t="s">
        <v>24</v>
      </c>
      <c r="O10" s="12"/>
      <c r="P10" s="13" t="s">
        <v>16</v>
      </c>
      <c r="Q10" s="12"/>
      <c r="R10" s="4" t="s">
        <v>39</v>
      </c>
    </row>
    <row r="11" spans="1:18" ht="23.1" customHeight="1" thickBot="1" x14ac:dyDescent="0.3">
      <c r="A11" s="18">
        <v>9</v>
      </c>
      <c r="B11" s="20" t="str">
        <f>Configuracoes!E13</f>
        <v>TIME 17</v>
      </c>
      <c r="C11" s="6">
        <f>E11*3+F11</f>
        <v>0</v>
      </c>
      <c r="D11" s="4">
        <f>Configuracoes!F13+Configuracoes!G13+Configuracoes!H13</f>
        <v>0</v>
      </c>
      <c r="E11" s="6">
        <f>Configuracoes!F13</f>
        <v>0</v>
      </c>
      <c r="F11" s="4">
        <f>Configuracoes!G13</f>
        <v>0</v>
      </c>
      <c r="G11" s="6">
        <f>Configuracoes!H13</f>
        <v>0</v>
      </c>
      <c r="H11" s="4">
        <f>Configuracoes!I13</f>
        <v>0</v>
      </c>
      <c r="I11" s="6">
        <f>Configuracoes!J13</f>
        <v>0</v>
      </c>
      <c r="J11" s="4">
        <f>H11-I11</f>
        <v>0</v>
      </c>
      <c r="K11" s="7" t="str">
        <f>IF(AND(D11&lt;&gt;"",D11&lt;&gt;0),C11/(D11*3),"")</f>
        <v/>
      </c>
      <c r="L11" s="5"/>
      <c r="N11" s="4" t="s">
        <v>33</v>
      </c>
      <c r="O11" s="12"/>
      <c r="P11" s="13" t="s">
        <v>16</v>
      </c>
      <c r="Q11" s="12"/>
      <c r="R11" s="4" t="s">
        <v>37</v>
      </c>
    </row>
    <row r="12" spans="1:18" ht="23.1" customHeight="1" thickBot="1" x14ac:dyDescent="0.3">
      <c r="A12" s="18">
        <v>10</v>
      </c>
      <c r="B12" s="20" t="str">
        <f>Configuracoes!E19</f>
        <v>TIME 18</v>
      </c>
      <c r="C12" s="6">
        <f>E12*3+F12</f>
        <v>0</v>
      </c>
      <c r="D12" s="4">
        <f>Configuracoes!F19+Configuracoes!G19+Configuracoes!H19</f>
        <v>0</v>
      </c>
      <c r="E12" s="6">
        <f>Configuracoes!F19</f>
        <v>0</v>
      </c>
      <c r="F12" s="4">
        <f>Configuracoes!G19</f>
        <v>0</v>
      </c>
      <c r="G12" s="6">
        <f>Configuracoes!H19</f>
        <v>0</v>
      </c>
      <c r="H12" s="4">
        <f>Configuracoes!I19</f>
        <v>0</v>
      </c>
      <c r="I12" s="6">
        <f>Configuracoes!J19</f>
        <v>0</v>
      </c>
      <c r="J12" s="4">
        <f>H12-I12</f>
        <v>0</v>
      </c>
      <c r="K12" s="7" t="str">
        <f>IF(AND(D12&lt;&gt;"",D12&lt;&gt;0),C12/(D12*3),"")</f>
        <v/>
      </c>
      <c r="L12" s="5"/>
      <c r="N12" s="4" t="s">
        <v>35</v>
      </c>
      <c r="O12" s="12"/>
      <c r="P12" s="13" t="s">
        <v>16</v>
      </c>
      <c r="Q12" s="12"/>
      <c r="R12" s="4" t="s">
        <v>36</v>
      </c>
    </row>
    <row r="13" spans="1:18" ht="23.1" customHeight="1" thickBot="1" x14ac:dyDescent="0.3">
      <c r="A13" s="18">
        <v>11</v>
      </c>
      <c r="B13" s="20" t="str">
        <f>Configuracoes!E14</f>
        <v>TIME 19</v>
      </c>
      <c r="C13" s="6">
        <f>E13*3+F13</f>
        <v>0</v>
      </c>
      <c r="D13" s="4">
        <f>Configuracoes!F14+Configuracoes!G14+Configuracoes!H14</f>
        <v>0</v>
      </c>
      <c r="E13" s="6">
        <f>Configuracoes!F14</f>
        <v>0</v>
      </c>
      <c r="F13" s="4">
        <f>Configuracoes!G14</f>
        <v>0</v>
      </c>
      <c r="G13" s="6">
        <f>Configuracoes!H14</f>
        <v>0</v>
      </c>
      <c r="H13" s="4">
        <f>Configuracoes!I14</f>
        <v>0</v>
      </c>
      <c r="I13" s="6">
        <f>Configuracoes!J14</f>
        <v>0</v>
      </c>
      <c r="J13" s="4">
        <f>H13-I13</f>
        <v>0</v>
      </c>
      <c r="K13" s="7" t="str">
        <f>IF(AND(D13&lt;&gt;"",D13&lt;&gt;0),C13/(D13*3),"")</f>
        <v/>
      </c>
      <c r="L13" s="5"/>
      <c r="O13"/>
      <c r="Q13"/>
    </row>
    <row r="14" spans="1:18" ht="23.1" customHeight="1" thickBot="1" x14ac:dyDescent="0.3">
      <c r="A14" s="18">
        <v>12</v>
      </c>
      <c r="B14" s="20" t="str">
        <f>Configuracoes!E3</f>
        <v>TIME 2</v>
      </c>
      <c r="C14" s="6">
        <f>E14*3+F14</f>
        <v>0</v>
      </c>
      <c r="D14" s="4">
        <f>Configuracoes!F3+Configuracoes!G3+Configuracoes!H3</f>
        <v>0</v>
      </c>
      <c r="E14" s="6">
        <f>Configuracoes!F3</f>
        <v>0</v>
      </c>
      <c r="F14" s="4">
        <f>Configuracoes!G3</f>
        <v>0</v>
      </c>
      <c r="G14" s="6">
        <f>Configuracoes!H3</f>
        <v>0</v>
      </c>
      <c r="H14" s="4">
        <f>Configuracoes!I3</f>
        <v>0</v>
      </c>
      <c r="I14" s="6">
        <f>Configuracoes!J3</f>
        <v>0</v>
      </c>
      <c r="J14" s="4">
        <f>H14-I14</f>
        <v>0</v>
      </c>
      <c r="K14" s="7" t="str">
        <f>IF(AND(D14&lt;&gt;"",D14&lt;&gt;0),C14/(D14*3),"")</f>
        <v/>
      </c>
      <c r="L14" s="5"/>
      <c r="O14"/>
      <c r="Q14"/>
    </row>
    <row r="15" spans="1:18" ht="23.1" customHeight="1" thickBot="1" x14ac:dyDescent="0.3">
      <c r="A15" s="18">
        <v>13</v>
      </c>
      <c r="B15" s="20" t="str">
        <f>Configuracoes!E4</f>
        <v>TIME 20</v>
      </c>
      <c r="C15" s="6">
        <f>E15*3+F15</f>
        <v>0</v>
      </c>
      <c r="D15" s="4">
        <f>Configuracoes!F4+Configuracoes!G4+Configuracoes!H4</f>
        <v>0</v>
      </c>
      <c r="E15" s="6">
        <f>Configuracoes!F4</f>
        <v>0</v>
      </c>
      <c r="F15" s="4">
        <f>Configuracoes!G4</f>
        <v>0</v>
      </c>
      <c r="G15" s="6">
        <f>Configuracoes!H4</f>
        <v>0</v>
      </c>
      <c r="H15" s="4">
        <f>Configuracoes!I4</f>
        <v>0</v>
      </c>
      <c r="I15" s="6">
        <f>Configuracoes!J4</f>
        <v>0</v>
      </c>
      <c r="J15" s="4">
        <f>H15-I15</f>
        <v>0</v>
      </c>
      <c r="K15" s="7" t="str">
        <f>IF(AND(D15&lt;&gt;"",D15&lt;&gt;0),C15/(D15*3),"")</f>
        <v/>
      </c>
      <c r="L15" s="5"/>
      <c r="O15"/>
      <c r="Q15"/>
    </row>
    <row r="16" spans="1:18" ht="23.1" customHeight="1" thickBot="1" x14ac:dyDescent="0.3">
      <c r="A16" s="18">
        <v>14</v>
      </c>
      <c r="B16" s="20" t="str">
        <f>Configuracoes!E6</f>
        <v>TIME 3</v>
      </c>
      <c r="C16" s="6">
        <f>E16*3+F16</f>
        <v>0</v>
      </c>
      <c r="D16" s="4">
        <f>Configuracoes!F6+Configuracoes!G6+Configuracoes!H6</f>
        <v>0</v>
      </c>
      <c r="E16" s="6">
        <f>Configuracoes!F6</f>
        <v>0</v>
      </c>
      <c r="F16" s="4">
        <f>Configuracoes!G6</f>
        <v>0</v>
      </c>
      <c r="G16" s="6">
        <f>Configuracoes!H6</f>
        <v>0</v>
      </c>
      <c r="H16" s="4">
        <f>Configuracoes!I6</f>
        <v>0</v>
      </c>
      <c r="I16" s="6">
        <f>Configuracoes!J6</f>
        <v>0</v>
      </c>
      <c r="J16" s="4">
        <f>H16-I16</f>
        <v>0</v>
      </c>
      <c r="K16" s="7" t="str">
        <f>IF(AND(D16&lt;&gt;"",D16&lt;&gt;0),C16/(D16*3),"")</f>
        <v/>
      </c>
      <c r="L16" s="5"/>
      <c r="O16"/>
      <c r="Q16"/>
    </row>
    <row r="17" spans="1:17" ht="23.1" customHeight="1" thickBot="1" x14ac:dyDescent="0.3">
      <c r="A17" s="18">
        <v>15</v>
      </c>
      <c r="B17" s="20" t="str">
        <f>Configuracoes!E7</f>
        <v>TIME 4</v>
      </c>
      <c r="C17" s="6">
        <f>E17*3+F17</f>
        <v>0</v>
      </c>
      <c r="D17" s="4">
        <f>Configuracoes!F7+Configuracoes!G7+Configuracoes!H7</f>
        <v>0</v>
      </c>
      <c r="E17" s="6">
        <f>Configuracoes!F7</f>
        <v>0</v>
      </c>
      <c r="F17" s="4">
        <f>Configuracoes!G7</f>
        <v>0</v>
      </c>
      <c r="G17" s="6">
        <f>Configuracoes!H7</f>
        <v>0</v>
      </c>
      <c r="H17" s="4">
        <f>Configuracoes!I7</f>
        <v>0</v>
      </c>
      <c r="I17" s="6">
        <f>Configuracoes!J7</f>
        <v>0</v>
      </c>
      <c r="J17" s="4">
        <f>H17-I17</f>
        <v>0</v>
      </c>
      <c r="K17" s="7" t="str">
        <f>IF(AND(D17&lt;&gt;"",D17&lt;&gt;0),C17/(D17*3),"")</f>
        <v/>
      </c>
      <c r="L17" s="5"/>
      <c r="O17"/>
      <c r="Q17"/>
    </row>
    <row r="18" spans="1:17" ht="23.1" customHeight="1" thickBot="1" x14ac:dyDescent="0.3">
      <c r="A18" s="18">
        <v>16</v>
      </c>
      <c r="B18" s="20" t="str">
        <f>Configuracoes!E15</f>
        <v>TIME 5</v>
      </c>
      <c r="C18" s="6">
        <f>E18*3+F18</f>
        <v>0</v>
      </c>
      <c r="D18" s="4">
        <f>Configuracoes!F15+Configuracoes!G15+Configuracoes!H15</f>
        <v>0</v>
      </c>
      <c r="E18" s="6">
        <f>Configuracoes!F15</f>
        <v>0</v>
      </c>
      <c r="F18" s="4">
        <f>Configuracoes!G15</f>
        <v>0</v>
      </c>
      <c r="G18" s="6">
        <f>Configuracoes!H15</f>
        <v>0</v>
      </c>
      <c r="H18" s="4">
        <f>Configuracoes!I15</f>
        <v>0</v>
      </c>
      <c r="I18" s="6">
        <f>Configuracoes!J15</f>
        <v>0</v>
      </c>
      <c r="J18" s="4">
        <f>H18-I18</f>
        <v>0</v>
      </c>
      <c r="K18" s="7" t="str">
        <f>IF(AND(D18&lt;&gt;"",D18&lt;&gt;0),C18/(D18*3),"")</f>
        <v/>
      </c>
      <c r="L18" s="5"/>
      <c r="O18"/>
      <c r="Q18"/>
    </row>
    <row r="19" spans="1:17" ht="23.1" customHeight="1" thickBot="1" x14ac:dyDescent="0.3">
      <c r="A19" s="18">
        <v>17</v>
      </c>
      <c r="B19" s="20" t="str">
        <f>Configuracoes!E9</f>
        <v>TIME 6</v>
      </c>
      <c r="C19" s="6">
        <f>E19*3+F19</f>
        <v>0</v>
      </c>
      <c r="D19" s="4">
        <f>Configuracoes!F9+Configuracoes!G9+Configuracoes!H9</f>
        <v>0</v>
      </c>
      <c r="E19" s="6">
        <f>Configuracoes!F9</f>
        <v>0</v>
      </c>
      <c r="F19" s="4">
        <f>Configuracoes!G9</f>
        <v>0</v>
      </c>
      <c r="G19" s="6">
        <f>Configuracoes!H9</f>
        <v>0</v>
      </c>
      <c r="H19" s="4">
        <f>Configuracoes!I9</f>
        <v>0</v>
      </c>
      <c r="I19" s="6">
        <f>Configuracoes!J9</f>
        <v>0</v>
      </c>
      <c r="J19" s="4">
        <f>H19-I19</f>
        <v>0</v>
      </c>
      <c r="K19" s="7" t="str">
        <f>IF(AND(D19&lt;&gt;"",D19&lt;&gt;0),C19/(D19*3),"")</f>
        <v/>
      </c>
      <c r="L19" s="5"/>
      <c r="O19"/>
      <c r="Q19"/>
    </row>
    <row r="20" spans="1:17" ht="23.1" customHeight="1" thickBot="1" x14ac:dyDescent="0.3">
      <c r="A20" s="18">
        <v>18</v>
      </c>
      <c r="B20" s="20" t="str">
        <f>Configuracoes!E17</f>
        <v>TIME 7</v>
      </c>
      <c r="C20" s="6">
        <f>E20*3+F20</f>
        <v>0</v>
      </c>
      <c r="D20" s="4">
        <f>Configuracoes!F17+Configuracoes!G17+Configuracoes!H17</f>
        <v>0</v>
      </c>
      <c r="E20" s="6">
        <f>Configuracoes!F17</f>
        <v>0</v>
      </c>
      <c r="F20" s="4">
        <f>Configuracoes!G17</f>
        <v>0</v>
      </c>
      <c r="G20" s="6">
        <f>Configuracoes!H17</f>
        <v>0</v>
      </c>
      <c r="H20" s="4">
        <f>Configuracoes!I17</f>
        <v>0</v>
      </c>
      <c r="I20" s="6">
        <f>Configuracoes!J17</f>
        <v>0</v>
      </c>
      <c r="J20" s="4">
        <f>H20-I20</f>
        <v>0</v>
      </c>
      <c r="K20" s="7" t="str">
        <f>IF(AND(D20&lt;&gt;"",D20&lt;&gt;0),C20/(D20*3),"")</f>
        <v/>
      </c>
      <c r="L20" s="5"/>
      <c r="O20"/>
      <c r="Q20"/>
    </row>
    <row r="21" spans="1:17" ht="23.1" customHeight="1" thickBot="1" x14ac:dyDescent="0.3">
      <c r="A21" s="18">
        <v>19</v>
      </c>
      <c r="B21" s="20" t="str">
        <f>Configuracoes!E2</f>
        <v>TIME 8</v>
      </c>
      <c r="C21" s="6">
        <f>E21*3+F21</f>
        <v>0</v>
      </c>
      <c r="D21" s="4">
        <f>Configuracoes!F2+Configuracoes!G2+Configuracoes!H2</f>
        <v>0</v>
      </c>
      <c r="E21" s="6">
        <f>Configuracoes!F2</f>
        <v>0</v>
      </c>
      <c r="F21" s="4">
        <f>Configuracoes!G2</f>
        <v>0</v>
      </c>
      <c r="G21" s="6">
        <f>Configuracoes!H2</f>
        <v>0</v>
      </c>
      <c r="H21" s="4">
        <f>Configuracoes!I2</f>
        <v>0</v>
      </c>
      <c r="I21" s="6">
        <f>Configuracoes!J2</f>
        <v>0</v>
      </c>
      <c r="J21" s="4">
        <f>H21-I21</f>
        <v>0</v>
      </c>
      <c r="K21" s="7" t="str">
        <f>IF(AND(D21&lt;&gt;"",D21&lt;&gt;0),C21/(D21*3),"")</f>
        <v/>
      </c>
      <c r="L21" s="5"/>
      <c r="O21"/>
      <c r="Q21"/>
    </row>
    <row r="22" spans="1:17" ht="23.1" customHeight="1" thickBot="1" x14ac:dyDescent="0.3">
      <c r="A22" s="18">
        <v>20</v>
      </c>
      <c r="B22" s="20" t="str">
        <f>Configuracoes!E5</f>
        <v>TIME 9</v>
      </c>
      <c r="C22" s="6">
        <f>E22*3+F22</f>
        <v>0</v>
      </c>
      <c r="D22" s="4">
        <f>Configuracoes!F5+Configuracoes!G5+Configuracoes!H5</f>
        <v>0</v>
      </c>
      <c r="E22" s="6">
        <f>Configuracoes!F5</f>
        <v>0</v>
      </c>
      <c r="F22" s="4">
        <f>Configuracoes!G5</f>
        <v>0</v>
      </c>
      <c r="G22" s="6">
        <f>Configuracoes!H5</f>
        <v>0</v>
      </c>
      <c r="H22" s="4">
        <f>Configuracoes!I5</f>
        <v>0</v>
      </c>
      <c r="I22" s="6">
        <f>Configuracoes!J5</f>
        <v>0</v>
      </c>
      <c r="J22" s="4">
        <f>H22-I22</f>
        <v>0</v>
      </c>
      <c r="K22" s="7" t="str">
        <f>IF(AND(D22&lt;&gt;"",D22&lt;&gt;0),C22/(D22*3),"")</f>
        <v/>
      </c>
      <c r="L22" s="5"/>
      <c r="O22"/>
      <c r="Q22"/>
    </row>
    <row r="23" spans="1:17" ht="23.1" customHeight="1" x14ac:dyDescent="0.25">
      <c r="O23"/>
      <c r="Q23"/>
    </row>
    <row r="24" spans="1:17" ht="23.1" customHeight="1" x14ac:dyDescent="0.25">
      <c r="O24"/>
      <c r="Q24"/>
    </row>
    <row r="25" spans="1:17" ht="23.1" customHeight="1" x14ac:dyDescent="0.25">
      <c r="O25"/>
      <c r="Q25"/>
    </row>
    <row r="26" spans="1:17" ht="23.1" customHeight="1" x14ac:dyDescent="0.25">
      <c r="O26"/>
      <c r="Q26"/>
    </row>
    <row r="27" spans="1:17" ht="23.1" customHeight="1" x14ac:dyDescent="0.25">
      <c r="O27"/>
      <c r="Q27"/>
    </row>
  </sheetData>
  <sheetProtection sheet="1" objects="1" scenarios="1"/>
  <sortState xmlns:xlrd2="http://schemas.microsoft.com/office/spreadsheetml/2017/richdata2" ref="B3:K22">
    <sortCondition descending="1" ref="C3:C22"/>
    <sortCondition descending="1" ref="E3:E22"/>
    <sortCondition descending="1" ref="J3:J22"/>
    <sortCondition descending="1" ref="H3:H22"/>
    <sortCondition ref="B3:B22"/>
  </sortState>
  <phoneticPr fontId="5" type="noConversion"/>
  <dataValidations count="1">
    <dataValidation type="whole" allowBlank="1" showInputMessage="1" showErrorMessage="1" sqref="O3:O12" xr:uid="{5B27E0D7-8455-4280-8A12-ABD8CFD065B9}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fitToWidth="0" fitToHeight="0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39</vt:i4>
      </vt:variant>
    </vt:vector>
  </HeadingPairs>
  <TitlesOfParts>
    <vt:vector size="41" baseType="lpstr">
      <vt:lpstr>Configuracoes</vt:lpstr>
      <vt:lpstr>Tabela</vt:lpstr>
      <vt:lpstr>JOGOS</vt:lpstr>
      <vt:lpstr>RODADA1</vt:lpstr>
      <vt:lpstr>RODADA10</vt:lpstr>
      <vt:lpstr>RODADA11</vt:lpstr>
      <vt:lpstr>RODADA12</vt:lpstr>
      <vt:lpstr>RODADA13</vt:lpstr>
      <vt:lpstr>RODADA14</vt:lpstr>
      <vt:lpstr>RODADA15</vt:lpstr>
      <vt:lpstr>RODADA16</vt:lpstr>
      <vt:lpstr>RODADA17</vt:lpstr>
      <vt:lpstr>RODADA18</vt:lpstr>
      <vt:lpstr>RODADA19</vt:lpstr>
      <vt:lpstr>RODADA2</vt:lpstr>
      <vt:lpstr>RODADA20</vt:lpstr>
      <vt:lpstr>RODADA21</vt:lpstr>
      <vt:lpstr>RODADA22</vt:lpstr>
      <vt:lpstr>RODADA23</vt:lpstr>
      <vt:lpstr>RODADA24</vt:lpstr>
      <vt:lpstr>RODADA25</vt:lpstr>
      <vt:lpstr>RODADA26</vt:lpstr>
      <vt:lpstr>RODADA27</vt:lpstr>
      <vt:lpstr>RODADA28</vt:lpstr>
      <vt:lpstr>RODADA29</vt:lpstr>
      <vt:lpstr>RODADA3</vt:lpstr>
      <vt:lpstr>RODADA30</vt:lpstr>
      <vt:lpstr>RODADA31</vt:lpstr>
      <vt:lpstr>RODADA32</vt:lpstr>
      <vt:lpstr>RODADA33</vt:lpstr>
      <vt:lpstr>RODADA34</vt:lpstr>
      <vt:lpstr>RODADA35</vt:lpstr>
      <vt:lpstr>RODADA36</vt:lpstr>
      <vt:lpstr>RODADA37</vt:lpstr>
      <vt:lpstr>RODADA38</vt:lpstr>
      <vt:lpstr>RODADA4</vt:lpstr>
      <vt:lpstr>RODADA5</vt:lpstr>
      <vt:lpstr>RODADA6</vt:lpstr>
      <vt:lpstr>RODADA7</vt:lpstr>
      <vt:lpstr>RODADA8</vt:lpstr>
      <vt:lpstr>RODADA9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Edinaldo Fernandes Cardoso Santos</dc:creator>
  <cp:lastModifiedBy>Edinaldo Fernandes Cardoso Santos</cp:lastModifiedBy>
  <dcterms:created xsi:type="dcterms:W3CDTF">2021-08-19T20:39:16Z</dcterms:created>
  <dcterms:modified xsi:type="dcterms:W3CDTF">2021-12-12T16:21:41Z</dcterms:modified>
</cp:coreProperties>
</file>